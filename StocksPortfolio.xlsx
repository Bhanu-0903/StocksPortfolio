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202300"/>
  <mc:AlternateContent xmlns:mc="http://schemas.openxmlformats.org/markup-compatibility/2006">
    <mc:Choice Requires="x15">
      <x15ac:absPath xmlns:x15ac="http://schemas.microsoft.com/office/spreadsheetml/2010/11/ac" url="C:\Users\bhanu.chinthireddy\Downloads\DataAnalaysis\"/>
    </mc:Choice>
  </mc:AlternateContent>
  <xr:revisionPtr revIDLastSave="0" documentId="13_ncr:1_{BFD9B729-8329-405A-8DAE-1EE428F39487}" xr6:coauthVersionLast="47" xr6:coauthVersionMax="47" xr10:uidLastSave="{00000000-0000-0000-0000-000000000000}"/>
  <bookViews>
    <workbookView xWindow="-110" yWindow="-110" windowWidth="19420" windowHeight="11020" firstSheet="1" activeTab="3" xr2:uid="{D63AC111-2761-4B29-A7DA-EA59B915B9D1}"/>
  </bookViews>
  <sheets>
    <sheet name="Stocks Overview" sheetId="1" r:id="rId1"/>
    <sheet name="Portfolio Analysis" sheetId="2" r:id="rId2"/>
    <sheet name="Pivot Tables" sheetId="6" r:id="rId3"/>
    <sheet name="Stock Purchase History" sheetId="7" r:id="rId4"/>
  </sheets>
  <definedNames>
    <definedName name="_xlnm._FilterDatabase" localSheetId="0" hidden="1">'Stocks Overview'!$A$1:$M$36</definedName>
  </definedNames>
  <calcPr calcId="191029"/>
  <pivotCaches>
    <pivotCache cacheId="14" r:id="rId5"/>
    <pivotCache cacheId="1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11" i="7"/>
  <c r="M10" i="7"/>
  <c r="M9" i="7"/>
  <c r="M8" i="7"/>
  <c r="M7" i="7"/>
  <c r="M6" i="7"/>
  <c r="M5" i="7"/>
  <c r="E10" i="7"/>
  <c r="E3" i="7"/>
  <c r="E4" i="7"/>
  <c r="E5" i="7"/>
  <c r="E6" i="7"/>
  <c r="E7" i="7"/>
  <c r="E8" i="7"/>
  <c r="E9" i="7"/>
  <c r="E2" i="7"/>
  <c r="B2" i="1" a="1"/>
  <c r="B2" i="1" s="1"/>
  <c r="D2" i="2" a="1"/>
  <c r="D2" i="2" s="1"/>
  <c r="D3" i="2" a="1"/>
  <c r="D3" i="2" s="1"/>
  <c r="D4" i="2" a="1"/>
  <c r="D4"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25" i="2" a="1"/>
  <c r="D25" i="2" s="1"/>
  <c r="D26" i="2" a="1"/>
  <c r="D26" i="2" s="1"/>
  <c r="D27" i="2" a="1"/>
  <c r="D27" i="2" s="1"/>
  <c r="D28" i="2" a="1"/>
  <c r="D28" i="2" s="1"/>
  <c r="D29" i="2" a="1"/>
  <c r="D29" i="2" s="1"/>
  <c r="D30" i="2" a="1"/>
  <c r="D30" i="2" s="1"/>
  <c r="D31" i="2" a="1"/>
  <c r="D31" i="2" s="1"/>
  <c r="D32" i="2" a="1"/>
  <c r="D32" i="2" s="1"/>
  <c r="D33" i="2" a="1"/>
  <c r="D33" i="2" s="1"/>
  <c r="D34" i="2" a="1"/>
  <c r="D34" i="2" s="1"/>
  <c r="D35" i="2" a="1"/>
  <c r="D35" i="2" s="1"/>
  <c r="D36" i="2" a="1"/>
  <c r="D36" i="2" s="1"/>
  <c r="C3" i="2" a="1"/>
  <c r="C3" i="2" s="1"/>
  <c r="C4" i="2" a="1"/>
  <c r="C4" i="2" s="1"/>
  <c r="C5" i="2" a="1"/>
  <c r="C5" i="2" s="1"/>
  <c r="C6" i="2" a="1"/>
  <c r="C6" i="2" s="1"/>
  <c r="C7" i="2" a="1"/>
  <c r="C7" i="2" s="1"/>
  <c r="C8" i="2" a="1"/>
  <c r="C8" i="2" s="1"/>
  <c r="C9" i="2" a="1"/>
  <c r="C9" i="2" s="1"/>
  <c r="C10" i="2" a="1"/>
  <c r="C10" i="2" s="1"/>
  <c r="C11" i="2" a="1"/>
  <c r="C11" i="2" s="1"/>
  <c r="C12" i="2" a="1"/>
  <c r="C12" i="2" s="1"/>
  <c r="C13" i="2" a="1"/>
  <c r="C13" i="2" s="1"/>
  <c r="C14" i="2" a="1"/>
  <c r="C14" i="2" s="1"/>
  <c r="C15" i="2" a="1"/>
  <c r="C15" i="2" s="1"/>
  <c r="C16" i="2" a="1"/>
  <c r="C16" i="2" s="1"/>
  <c r="C17" i="2" a="1"/>
  <c r="C17" i="2" s="1"/>
  <c r="C18" i="2" a="1"/>
  <c r="C18" i="2" s="1"/>
  <c r="C19" i="2" a="1"/>
  <c r="C19" i="2" s="1"/>
  <c r="C20" i="2" a="1"/>
  <c r="C20" i="2" s="1"/>
  <c r="C21" i="2" a="1"/>
  <c r="C21" i="2" s="1"/>
  <c r="C22" i="2" a="1"/>
  <c r="C22" i="2" s="1"/>
  <c r="C23" i="2" a="1"/>
  <c r="C23" i="2" s="1"/>
  <c r="C24" i="2" a="1"/>
  <c r="C24" i="2" s="1"/>
  <c r="C25" i="2" a="1"/>
  <c r="C25" i="2" s="1"/>
  <c r="C26" i="2" a="1"/>
  <c r="C26" i="2" s="1"/>
  <c r="C27" i="2" a="1"/>
  <c r="C27" i="2" s="1"/>
  <c r="C28" i="2" a="1"/>
  <c r="C28" i="2" s="1"/>
  <c r="C29" i="2" a="1"/>
  <c r="C29" i="2" s="1"/>
  <c r="C30" i="2" a="1"/>
  <c r="C30" i="2" s="1"/>
  <c r="C31" i="2" a="1"/>
  <c r="C31" i="2" s="1"/>
  <c r="C32" i="2" a="1"/>
  <c r="C32" i="2" s="1"/>
  <c r="C2" i="2" a="1"/>
  <c r="C2" i="2" s="1"/>
  <c r="H34" i="2" a="1"/>
  <c r="H34" i="2" s="1"/>
  <c r="I34" i="2" s="1"/>
  <c r="J34" i="2" s="1"/>
  <c r="H35" i="2" a="1"/>
  <c r="H35" i="2" s="1"/>
  <c r="I35" i="2" s="1"/>
  <c r="J35" i="2" s="1"/>
  <c r="H36" i="2" a="1"/>
  <c r="H36" i="2" s="1"/>
  <c r="I36" i="2" s="1"/>
  <c r="J36" i="2" s="1"/>
  <c r="H33" i="2" a="1"/>
  <c r="H33" i="2" s="1"/>
  <c r="I33" i="2" s="1"/>
  <c r="J33" i="2" s="1"/>
  <c r="G36" i="2"/>
  <c r="G35" i="2"/>
  <c r="G34" i="2"/>
  <c r="G33" i="2"/>
  <c r="B33" i="2" a="1"/>
  <c r="B33" i="2" s="1"/>
  <c r="B34" i="2" a="1"/>
  <c r="B34" i="2" s="1"/>
  <c r="B35" i="2" a="1"/>
  <c r="B35" i="2" s="1"/>
  <c r="B36" i="2" a="1"/>
  <c r="B36" i="2" s="1"/>
  <c r="F33" i="1" a="1"/>
  <c r="F33" i="1" s="1"/>
  <c r="G33" i="1" a="1"/>
  <c r="G33" i="1" s="1"/>
  <c r="I33" i="1" a="1"/>
  <c r="I33" i="1" s="1"/>
  <c r="J33" i="1" a="1"/>
  <c r="J33" i="1" s="1"/>
  <c r="K33" i="1" a="1"/>
  <c r="K33" i="1" s="1"/>
  <c r="L33" i="1" a="1"/>
  <c r="L33" i="1" s="1"/>
  <c r="M33" i="1" a="1"/>
  <c r="M33" i="1" s="1"/>
  <c r="F34" i="1" a="1"/>
  <c r="F34" i="1" s="1"/>
  <c r="G34" i="1" a="1"/>
  <c r="G34" i="1" s="1"/>
  <c r="I34" i="1" a="1"/>
  <c r="I34" i="1" s="1"/>
  <c r="J34" i="1" a="1"/>
  <c r="J34" i="1" s="1"/>
  <c r="K34" i="1" a="1"/>
  <c r="K34" i="1" s="1"/>
  <c r="L34" i="1" a="1"/>
  <c r="L34" i="1" s="1"/>
  <c r="M34" i="1" a="1"/>
  <c r="M34" i="1" s="1"/>
  <c r="F35" i="1" a="1"/>
  <c r="F35" i="1" s="1"/>
  <c r="G35" i="1" a="1"/>
  <c r="G35" i="1" s="1"/>
  <c r="I35" i="1" a="1"/>
  <c r="I35" i="1" s="1"/>
  <c r="J35" i="1" a="1"/>
  <c r="J35" i="1" s="1"/>
  <c r="K35" i="1" a="1"/>
  <c r="K35" i="1" s="1"/>
  <c r="L35" i="1" a="1"/>
  <c r="L35" i="1" s="1"/>
  <c r="M35" i="1" a="1"/>
  <c r="M35" i="1" s="1"/>
  <c r="F36" i="1" a="1"/>
  <c r="F36" i="1" s="1"/>
  <c r="G36" i="1" a="1"/>
  <c r="G36" i="1" s="1"/>
  <c r="I36" i="1" a="1"/>
  <c r="I36" i="1" s="1"/>
  <c r="J36" i="1" a="1"/>
  <c r="J36" i="1" s="1"/>
  <c r="K36" i="1" a="1"/>
  <c r="K36" i="1" s="1"/>
  <c r="L36" i="1" a="1"/>
  <c r="L36" i="1" s="1"/>
  <c r="M36" i="1" a="1"/>
  <c r="M36" i="1" s="1"/>
  <c r="D33" i="1" a="1"/>
  <c r="D33" i="1" s="1"/>
  <c r="D34" i="1" a="1"/>
  <c r="D34" i="1" s="1"/>
  <c r="D35" i="1" a="1"/>
  <c r="D35" i="1" s="1"/>
  <c r="D36" i="1" a="1"/>
  <c r="D36" i="1" s="1"/>
  <c r="C33" i="1" a="1"/>
  <c r="C33" i="1" s="1"/>
  <c r="C34" i="1" a="1"/>
  <c r="C34" i="1" s="1"/>
  <c r="C35" i="1" a="1"/>
  <c r="C35" i="1" s="1"/>
  <c r="C36" i="1" a="1"/>
  <c r="C36" i="1" s="1"/>
  <c r="B33" i="1" a="1"/>
  <c r="B33" i="1" s="1"/>
  <c r="B34" i="1" a="1"/>
  <c r="B34" i="1" s="1"/>
  <c r="B35" i="1" a="1"/>
  <c r="B35" i="1" s="1"/>
  <c r="B36" i="1" a="1"/>
  <c r="B36"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2" i="1" a="1"/>
  <c r="D2" i="1" s="1"/>
  <c r="H3" i="2" a="1"/>
  <c r="H3" i="2" s="1"/>
  <c r="I3" i="2" s="1"/>
  <c r="J3" i="2" s="1"/>
  <c r="H4" i="2" a="1"/>
  <c r="H4" i="2" s="1"/>
  <c r="I4" i="2" s="1"/>
  <c r="J4" i="2" s="1"/>
  <c r="H5" i="2" a="1"/>
  <c r="H5" i="2" s="1"/>
  <c r="H6" i="2" a="1"/>
  <c r="H6" i="2" s="1"/>
  <c r="I6" i="2" s="1"/>
  <c r="J6" i="2" s="1"/>
  <c r="H7" i="2" a="1"/>
  <c r="H7" i="2" s="1"/>
  <c r="I7" i="2" s="1"/>
  <c r="J7" i="2" s="1"/>
  <c r="H8" i="2" a="1"/>
  <c r="H8" i="2" s="1"/>
  <c r="I8" i="2" s="1"/>
  <c r="J8" i="2" s="1"/>
  <c r="H9" i="2" a="1"/>
  <c r="H9" i="2" s="1"/>
  <c r="H10" i="2" a="1"/>
  <c r="H10" i="2" s="1"/>
  <c r="H11" i="2" a="1"/>
  <c r="H11" i="2" s="1"/>
  <c r="H12" i="2" a="1"/>
  <c r="H12" i="2" s="1"/>
  <c r="H13" i="2" a="1"/>
  <c r="H13" i="2" s="1"/>
  <c r="H14" i="2" a="1"/>
  <c r="H14" i="2" s="1"/>
  <c r="H15" i="2" a="1"/>
  <c r="H15" i="2" s="1"/>
  <c r="I15" i="2" s="1"/>
  <c r="J15" i="2" s="1"/>
  <c r="H16" i="2" a="1"/>
  <c r="H16" i="2" s="1"/>
  <c r="I16" i="2" s="1"/>
  <c r="J16" i="2" s="1"/>
  <c r="H17" i="2" a="1"/>
  <c r="H17" i="2" s="1"/>
  <c r="H18" i="2" a="1"/>
  <c r="H18" i="2" s="1"/>
  <c r="I18" i="2" s="1"/>
  <c r="J18" i="2" s="1"/>
  <c r="H19" i="2" a="1"/>
  <c r="H19" i="2" s="1"/>
  <c r="I19" i="2" s="1"/>
  <c r="J19" i="2" s="1"/>
  <c r="H20" i="2" a="1"/>
  <c r="H20" i="2" s="1"/>
  <c r="H21" i="2" a="1"/>
  <c r="H21" i="2" s="1"/>
  <c r="I21" i="2" s="1"/>
  <c r="J21" i="2" s="1"/>
  <c r="H22" i="2" a="1"/>
  <c r="H22" i="2" s="1"/>
  <c r="H23" i="2" a="1"/>
  <c r="H23" i="2" s="1"/>
  <c r="H24" i="2" a="1"/>
  <c r="H24" i="2" s="1"/>
  <c r="H25" i="2" a="1"/>
  <c r="H25" i="2" s="1"/>
  <c r="H26" i="2" a="1"/>
  <c r="H26" i="2" s="1"/>
  <c r="H27" i="2" a="1"/>
  <c r="H27" i="2" s="1"/>
  <c r="H28" i="2" a="1"/>
  <c r="H28" i="2" s="1"/>
  <c r="I28" i="2" s="1"/>
  <c r="J28" i="2" s="1"/>
  <c r="H29" i="2" a="1"/>
  <c r="H29" i="2" s="1"/>
  <c r="H30" i="2" a="1"/>
  <c r="H30" i="2" s="1"/>
  <c r="I30" i="2" s="1"/>
  <c r="J30" i="2" s="1"/>
  <c r="H31" i="2" a="1"/>
  <c r="H31" i="2" s="1"/>
  <c r="I31" i="2" s="1"/>
  <c r="J31" i="2" s="1"/>
  <c r="H32" i="2" a="1"/>
  <c r="H32" i="2" s="1"/>
  <c r="I32" i="2" s="1"/>
  <c r="J32" i="2" s="1"/>
  <c r="H2" i="2" a="1"/>
  <c r="H2" i="2" s="1"/>
  <c r="B3" i="2" a="1"/>
  <c r="B3" i="2" s="1"/>
  <c r="B4" i="2" a="1"/>
  <c r="B4" i="2" s="1"/>
  <c r="B5" i="2" a="1"/>
  <c r="B5" i="2" s="1"/>
  <c r="B6" i="2" a="1"/>
  <c r="B6" i="2" s="1"/>
  <c r="B7" i="2" a="1"/>
  <c r="B7" i="2" s="1"/>
  <c r="B8" i="2" a="1"/>
  <c r="B8" i="2" s="1"/>
  <c r="B9" i="2" a="1"/>
  <c r="B9" i="2" s="1"/>
  <c r="B10" i="2" a="1"/>
  <c r="B10" i="2" s="1"/>
  <c r="B11" i="2" a="1"/>
  <c r="B11" i="2" s="1"/>
  <c r="B12" i="2" a="1"/>
  <c r="B12" i="2" s="1"/>
  <c r="B13" i="2" a="1"/>
  <c r="B13" i="2" s="1"/>
  <c r="B14" i="2" a="1"/>
  <c r="B14" i="2" s="1"/>
  <c r="B15" i="2" a="1"/>
  <c r="B15" i="2" s="1"/>
  <c r="B16" i="2" a="1"/>
  <c r="B16" i="2" s="1"/>
  <c r="B17" i="2" a="1"/>
  <c r="B17" i="2" s="1"/>
  <c r="B18" i="2" a="1"/>
  <c r="B18" i="2" s="1"/>
  <c r="B19" i="2" a="1"/>
  <c r="B19" i="2" s="1"/>
  <c r="B20" i="2" a="1"/>
  <c r="B20" i="2" s="1"/>
  <c r="B21" i="2" a="1"/>
  <c r="B21" i="2" s="1"/>
  <c r="B22" i="2" a="1"/>
  <c r="B22" i="2" s="1"/>
  <c r="B23" i="2" a="1"/>
  <c r="B23" i="2" s="1"/>
  <c r="B24" i="2" a="1"/>
  <c r="B24" i="2" s="1"/>
  <c r="B25" i="2" a="1"/>
  <c r="B25" i="2" s="1"/>
  <c r="B26" i="2" a="1"/>
  <c r="B26" i="2" s="1"/>
  <c r="B27" i="2" a="1"/>
  <c r="B27" i="2" s="1"/>
  <c r="B28" i="2" a="1"/>
  <c r="B28" i="2" s="1"/>
  <c r="B29" i="2" a="1"/>
  <c r="B29" i="2" s="1"/>
  <c r="B30" i="2" a="1"/>
  <c r="B30" i="2" s="1"/>
  <c r="B31" i="2" a="1"/>
  <c r="B31" i="2" s="1"/>
  <c r="B32" i="2" a="1"/>
  <c r="B32" i="2" s="1"/>
  <c r="B2" i="2" a="1"/>
  <c r="B2"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2" i="2"/>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2" i="1" a="1"/>
  <c r="M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L2" i="1" a="1"/>
  <c r="L2" i="1" s="1"/>
  <c r="K2" i="1" a="1"/>
  <c r="K2"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2" i="1" a="1"/>
  <c r="J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2" i="1" a="1"/>
  <c r="I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2" i="1" a="1"/>
  <c r="H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2" i="1" a="1"/>
  <c r="G2" i="1" s="1"/>
  <c r="F2" i="1" a="1"/>
  <c r="F2"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 i="1" a="1"/>
  <c r="F3"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2" i="1" a="1"/>
  <c r="E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2" i="1" a="1"/>
  <c r="C2" i="1" s="1"/>
  <c r="M4" i="7"/>
  <c r="M3" i="7"/>
  <c r="G41" i="2" l="1"/>
  <c r="K21" i="2"/>
  <c r="K19" i="2"/>
  <c r="K30" i="2"/>
  <c r="K4" i="2"/>
  <c r="K32" i="2"/>
  <c r="K8" i="2"/>
  <c r="K31" i="2"/>
  <c r="K7" i="2"/>
  <c r="K18" i="2"/>
  <c r="K6" i="2"/>
  <c r="K28" i="2"/>
  <c r="K16" i="2"/>
  <c r="K33" i="2"/>
  <c r="K15" i="2"/>
  <c r="K3" i="2"/>
  <c r="K36" i="2"/>
  <c r="K35" i="2"/>
  <c r="K34" i="2"/>
  <c r="I9" i="2"/>
  <c r="I14" i="2"/>
  <c r="I27" i="2"/>
  <c r="I20" i="2"/>
  <c r="I2" i="2"/>
  <c r="J2" i="2" s="1"/>
  <c r="I26" i="2"/>
  <c r="I5" i="2"/>
  <c r="I11" i="2"/>
  <c r="I17" i="2"/>
  <c r="I23" i="2"/>
  <c r="I29" i="2"/>
  <c r="I25" i="2"/>
  <c r="I13" i="2"/>
  <c r="I24" i="2"/>
  <c r="I12" i="2"/>
  <c r="I22" i="2"/>
  <c r="I10" i="2"/>
  <c r="K10" i="2" l="1"/>
  <c r="J10" i="2"/>
  <c r="K25" i="2"/>
  <c r="J25" i="2"/>
  <c r="K22" i="2"/>
  <c r="J22" i="2"/>
  <c r="K20" i="2"/>
  <c r="J20" i="2"/>
  <c r="K12" i="2"/>
  <c r="J12" i="2"/>
  <c r="K27" i="2"/>
  <c r="J27" i="2"/>
  <c r="K24" i="2"/>
  <c r="J24" i="2"/>
  <c r="K14" i="2"/>
  <c r="J14" i="2"/>
  <c r="K13" i="2"/>
  <c r="J13" i="2"/>
  <c r="K9" i="2"/>
  <c r="J9" i="2"/>
  <c r="K29" i="2"/>
  <c r="J29" i="2"/>
  <c r="K23" i="2"/>
  <c r="J23" i="2"/>
  <c r="K17" i="2"/>
  <c r="J17" i="2"/>
  <c r="K11" i="2"/>
  <c r="J11" i="2"/>
  <c r="K5" i="2"/>
  <c r="J5" i="2"/>
  <c r="K26" i="2"/>
  <c r="J26" i="2"/>
  <c r="I41" i="2"/>
  <c r="K2" i="2"/>
  <c r="J41"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5"/>
        </ext>
      </extLst>
    </bk>
    <bk>
      <extLst>
        <ext uri="{3e2802c4-a4d2-4d8b-9148-e3be6c30e623}">
          <xlrd:rvb i="98"/>
        </ext>
      </extLst>
    </bk>
    <bk>
      <extLst>
        <ext uri="{3e2802c4-a4d2-4d8b-9148-e3be6c30e623}">
          <xlrd:rvb i="101"/>
        </ext>
      </extLst>
    </bk>
    <bk>
      <extLst>
        <ext uri="{3e2802c4-a4d2-4d8b-9148-e3be6c30e623}">
          <xlrd:rvb i="104"/>
        </ext>
      </extLst>
    </bk>
    <bk>
      <extLst>
        <ext uri="{3e2802c4-a4d2-4d8b-9148-e3be6c30e623}">
          <xlrd:rvb i="107"/>
        </ext>
      </extLst>
    </bk>
  </futureMetadata>
  <cellMetadata count="1">
    <bk>
      <rc t="1" v="0"/>
    </bk>
  </cellMetadata>
  <valueMetadata count="3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valueMetadata>
</metadata>
</file>

<file path=xl/sharedStrings.xml><?xml version="1.0" encoding="utf-8"?>
<sst xmlns="http://schemas.openxmlformats.org/spreadsheetml/2006/main" count="110" uniqueCount="67">
  <si>
    <t>Stock Name</t>
  </si>
  <si>
    <t>Market Cap</t>
  </si>
  <si>
    <t>Industry</t>
  </si>
  <si>
    <t>Exchange Market</t>
  </si>
  <si>
    <t>Ticker Symbol</t>
  </si>
  <si>
    <t>P/E ratio</t>
  </si>
  <si>
    <t>Today's High</t>
  </si>
  <si>
    <t>Today's low</t>
  </si>
  <si>
    <t>Previous Close</t>
  </si>
  <si>
    <t>Volume</t>
  </si>
  <si>
    <t>Open Price</t>
  </si>
  <si>
    <t>Current Price</t>
  </si>
  <si>
    <t>Stock</t>
  </si>
  <si>
    <t>Quantity</t>
  </si>
  <si>
    <t>Percent change</t>
  </si>
  <si>
    <t>Total</t>
  </si>
  <si>
    <t>Official Name</t>
  </si>
  <si>
    <t>Present Total</t>
  </si>
  <si>
    <t>Total Invested</t>
  </si>
  <si>
    <t>Avg Purchased Price</t>
  </si>
  <si>
    <t>ETF</t>
  </si>
  <si>
    <t>NULL</t>
  </si>
  <si>
    <t>Instrument Type</t>
  </si>
  <si>
    <t>Row Labels</t>
  </si>
  <si>
    <t>Aerospace &amp; Defense</t>
  </si>
  <si>
    <t>Automobiles &amp; Auto Parts</t>
  </si>
  <si>
    <t>Banking Services</t>
  </si>
  <si>
    <t>Beverages</t>
  </si>
  <si>
    <t>Coal</t>
  </si>
  <si>
    <t>Communications &amp; Networking</t>
  </si>
  <si>
    <t>Construction &amp; Engineering</t>
  </si>
  <si>
    <t>Electrical Utilities &amp; IPPs</t>
  </si>
  <si>
    <t>Food &amp; Tobacco</t>
  </si>
  <si>
    <t>Freight &amp; Logistics Services</t>
  </si>
  <si>
    <t>Machinery, Equipment &amp; Components</t>
  </si>
  <si>
    <t>Metals &amp; Mining</t>
  </si>
  <si>
    <t>Oil &amp; Gas</t>
  </si>
  <si>
    <t>Pharmaceuticals</t>
  </si>
  <si>
    <t>Software &amp; IT Services</t>
  </si>
  <si>
    <t>Textiles &amp; Apparel</t>
  </si>
  <si>
    <t>Transport Infrastructure</t>
  </si>
  <si>
    <t>Grand Total</t>
  </si>
  <si>
    <t>Sum of Total Invested</t>
  </si>
  <si>
    <t>Profit/loss</t>
  </si>
  <si>
    <t>Sum of Profit/loss</t>
  </si>
  <si>
    <t>Dividend</t>
  </si>
  <si>
    <t>Bought price</t>
  </si>
  <si>
    <t>Amount</t>
  </si>
  <si>
    <t xml:space="preserve">Month </t>
  </si>
  <si>
    <t>Stock Ticker</t>
  </si>
  <si>
    <t>November</t>
  </si>
  <si>
    <t>CIPLA</t>
  </si>
  <si>
    <t>RELIANCE</t>
  </si>
  <si>
    <t>NTPC</t>
  </si>
  <si>
    <t>CGPOWER</t>
  </si>
  <si>
    <t>VBL</t>
  </si>
  <si>
    <t>COALINDIA</t>
  </si>
  <si>
    <t>HCLTECH</t>
  </si>
  <si>
    <t>CONCOR</t>
  </si>
  <si>
    <t>Avg Price</t>
  </si>
  <si>
    <t>Total amount</t>
  </si>
  <si>
    <t>Sum of Amount</t>
  </si>
  <si>
    <t xml:space="preserve">December </t>
  </si>
  <si>
    <t>Sum of Total amount</t>
  </si>
  <si>
    <t>Average Stock Price</t>
  </si>
  <si>
    <t>LM</t>
  </si>
  <si>
    <t>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</si>
</sst>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4009]\ * #,##0.00_ ;_ [$₹-4009]\ * \-#,##0.00_ ;_ [$₹-4009]\ * &quot;-&quot;??_ ;_ @_ "/>
    <numFmt numFmtId="165" formatCode="_ [$₹-4009]\ * #,##0_ ;_ [$₹-4009]\ * \-#,##0_ ;_ [$₹-4009]\ * &quot;-&quot;_ ;_ @_ "/>
    <numFmt numFmtId="166" formatCode="0.000"/>
    <numFmt numFmtId="167" formatCode="&quot;₹&quot;\ #,##0.00"/>
  </numFmts>
  <fonts count="4" x14ac:knownFonts="1">
    <font>
      <sz val="11"/>
      <color theme="1"/>
      <name val="Aptos Narrow"/>
      <family val="2"/>
      <scheme val="minor"/>
    </font>
    <font>
      <sz val="11"/>
      <name val="Aptos Narrow"/>
      <family val="2"/>
      <scheme val="minor"/>
    </font>
    <font>
      <sz val="8"/>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49998474074526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0">
    <xf numFmtId="0" fontId="0" fillId="0" borderId="0" xfId="0"/>
    <xf numFmtId="164" fontId="0" fillId="0" borderId="0" xfId="0" applyNumberFormat="1"/>
    <xf numFmtId="165" fontId="0" fillId="0" borderId="0" xfId="0" applyNumberFormat="1"/>
    <xf numFmtId="4" fontId="0" fillId="0" borderId="0" xfId="0" applyNumberFormat="1"/>
    <xf numFmtId="3" fontId="0" fillId="0" borderId="0" xfId="0" applyNumberFormat="1"/>
    <xf numFmtId="0" fontId="0" fillId="2" borderId="0" xfId="0" applyFill="1"/>
    <xf numFmtId="44" fontId="0" fillId="0" borderId="0" xfId="0" applyNumberFormat="1"/>
    <xf numFmtId="44" fontId="0" fillId="2" borderId="0" xfId="0" applyNumberFormat="1" applyFill="1"/>
    <xf numFmtId="166" fontId="0" fillId="0" borderId="0" xfId="0" applyNumberFormat="1"/>
    <xf numFmtId="164" fontId="0" fillId="2" borderId="0" xfId="0" applyNumberFormat="1" applyFill="1"/>
    <xf numFmtId="0" fontId="0" fillId="0" borderId="0" xfId="0" pivotButton="1"/>
    <xf numFmtId="0" fontId="0" fillId="0" borderId="0" xfId="0" applyAlignment="1">
      <alignment horizontal="left"/>
    </xf>
    <xf numFmtId="44" fontId="0" fillId="3" borderId="0" xfId="0" applyNumberFormat="1" applyFill="1"/>
    <xf numFmtId="164" fontId="0" fillId="4" borderId="0" xfId="0" applyNumberFormat="1" applyFill="1"/>
    <xf numFmtId="0" fontId="1" fillId="0" borderId="0" xfId="0" applyFont="1"/>
    <xf numFmtId="164" fontId="1" fillId="0" borderId="0" xfId="0" applyNumberFormat="1" applyFont="1"/>
    <xf numFmtId="14" fontId="0" fillId="0" borderId="0" xfId="0" applyNumberFormat="1"/>
    <xf numFmtId="0" fontId="0" fillId="0" borderId="0" xfId="0" applyNumberFormat="1"/>
    <xf numFmtId="167" fontId="0" fillId="0" borderId="0" xfId="0" applyNumberFormat="1"/>
    <xf numFmtId="167" fontId="3" fillId="5"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06/relationships/rdRichValue" Target="richData/rdrichvalue.xml"/><Relationship Id="rId5" Type="http://schemas.openxmlformats.org/officeDocument/2006/relationships/pivotCacheDefinition" Target="pivotCache/pivotCacheDefinition1.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[StocksPortfolio.xlsx]Pivot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a:t>
            </a:r>
            <a:r>
              <a:rPr lang="en-US" baseline="0"/>
              <a:t>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Tables'!$A$2:$A$20</c:f>
              <c:strCache>
                <c:ptCount val="18"/>
                <c:pt idx="0">
                  <c:v>Aerospace &amp; Defense</c:v>
                </c:pt>
                <c:pt idx="1">
                  <c:v>Automobiles &amp; Auto Parts</c:v>
                </c:pt>
                <c:pt idx="2">
                  <c:v>Banking Services</c:v>
                </c:pt>
                <c:pt idx="3">
                  <c:v>Beverages</c:v>
                </c:pt>
                <c:pt idx="4">
                  <c:v>Coal</c:v>
                </c:pt>
                <c:pt idx="5">
                  <c:v>Communications &amp; Networking</c:v>
                </c:pt>
                <c:pt idx="6">
                  <c:v>Construction &amp; Engineering</c:v>
                </c:pt>
                <c:pt idx="7">
                  <c:v>Electrical Utilities &amp; IPPs</c:v>
                </c:pt>
                <c:pt idx="8">
                  <c:v>ETF</c:v>
                </c:pt>
                <c:pt idx="9">
                  <c:v>Food &amp; Tobacco</c:v>
                </c:pt>
                <c:pt idx="10">
                  <c:v>Freight &amp; Logistics Services</c:v>
                </c:pt>
                <c:pt idx="11">
                  <c:v>Machinery, Equipment &amp; Components</c:v>
                </c:pt>
                <c:pt idx="12">
                  <c:v>Metals &amp; Mining</c:v>
                </c:pt>
                <c:pt idx="13">
                  <c:v>Oil &amp; Gas</c:v>
                </c:pt>
                <c:pt idx="14">
                  <c:v>Pharmaceuticals</c:v>
                </c:pt>
                <c:pt idx="15">
                  <c:v>Software &amp; IT Services</c:v>
                </c:pt>
                <c:pt idx="16">
                  <c:v>Textiles &amp; Apparel</c:v>
                </c:pt>
                <c:pt idx="17">
                  <c:v>Transport Infrastructure</c:v>
                </c:pt>
              </c:strCache>
            </c:strRef>
          </c:cat>
          <c:val>
            <c:numRef>
              <c:f>'Pivot Tables'!$B$2:$B$20</c:f>
              <c:numCache>
                <c:formatCode>_("₹"* #,##0.00_);_("₹"* \(#,##0.00\);_("₹"* "-"??_);_(@_)</c:formatCode>
                <c:ptCount val="18"/>
                <c:pt idx="0">
                  <c:v>5382.6</c:v>
                </c:pt>
                <c:pt idx="1">
                  <c:v>11028.59</c:v>
                </c:pt>
                <c:pt idx="2">
                  <c:v>25053.269999999997</c:v>
                </c:pt>
                <c:pt idx="3">
                  <c:v>14503.439999999999</c:v>
                </c:pt>
                <c:pt idx="4">
                  <c:v>14112.130000000001</c:v>
                </c:pt>
                <c:pt idx="5">
                  <c:v>5948.11</c:v>
                </c:pt>
                <c:pt idx="6">
                  <c:v>3564.69</c:v>
                </c:pt>
                <c:pt idx="7">
                  <c:v>34611.820000000007</c:v>
                </c:pt>
                <c:pt idx="8">
                  <c:v>15561.939999999999</c:v>
                </c:pt>
                <c:pt idx="9">
                  <c:v>7741.28</c:v>
                </c:pt>
                <c:pt idx="10">
                  <c:v>12461.789999999999</c:v>
                </c:pt>
                <c:pt idx="11">
                  <c:v>19511.52</c:v>
                </c:pt>
                <c:pt idx="12">
                  <c:v>8759.6299999999992</c:v>
                </c:pt>
                <c:pt idx="13">
                  <c:v>28299.15</c:v>
                </c:pt>
                <c:pt idx="14">
                  <c:v>29024</c:v>
                </c:pt>
                <c:pt idx="15">
                  <c:v>14141.44</c:v>
                </c:pt>
                <c:pt idx="16">
                  <c:v>1243.8400000000001</c:v>
                </c:pt>
                <c:pt idx="17">
                  <c:v>6613.42</c:v>
                </c:pt>
              </c:numCache>
            </c:numRef>
          </c:val>
          <c:extLst>
            <c:ext xmlns:c16="http://schemas.microsoft.com/office/drawing/2014/chart" uri="{C3380CC4-5D6E-409C-BE32-E72D297353CC}">
              <c16:uniqueId val="{00000000-3441-47BF-9B1B-BFA8C40AD29C}"/>
            </c:ext>
          </c:extLst>
        </c:ser>
        <c:dLbls>
          <c:showLegendKey val="0"/>
          <c:showVal val="0"/>
          <c:showCatName val="0"/>
          <c:showSerName val="0"/>
          <c:showPercent val="0"/>
          <c:showBubbleSize val="0"/>
        </c:dLbls>
        <c:gapWidth val="219"/>
        <c:overlap val="-27"/>
        <c:axId val="865925856"/>
        <c:axId val="865924416"/>
      </c:barChart>
      <c:catAx>
        <c:axId val="8659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24416"/>
        <c:crosses val="autoZero"/>
        <c:auto val="1"/>
        <c:lblAlgn val="ctr"/>
        <c:lblOffset val="100"/>
        <c:noMultiLvlLbl val="0"/>
      </c:catAx>
      <c:valAx>
        <c:axId val="8659244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[StocksPortfolio.xlsx]Pivot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a:t>
            </a:r>
            <a:r>
              <a:rPr lang="en-US" baseline="0"/>
              <a:t> based on Instrument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46-4F0B-B9B3-526BB06F82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46-4F0B-B9B3-526BB06F82A6}"/>
              </c:ext>
            </c:extLst>
          </c:dPt>
          <c:cat>
            <c:strRef>
              <c:f>'Pivot Tables'!$A$25:$A$27</c:f>
              <c:strCache>
                <c:ptCount val="2"/>
                <c:pt idx="0">
                  <c:v>ETF</c:v>
                </c:pt>
                <c:pt idx="1">
                  <c:v>Stock</c:v>
                </c:pt>
              </c:strCache>
            </c:strRef>
          </c:cat>
          <c:val>
            <c:numRef>
              <c:f>'Pivot Tables'!$B$25:$B$27</c:f>
              <c:numCache>
                <c:formatCode>_("₹"* #,##0.00_);_("₹"* \(#,##0.00\);_("₹"* "-"??_);_(@_)</c:formatCode>
                <c:ptCount val="2"/>
                <c:pt idx="0">
                  <c:v>15561.939999999999</c:v>
                </c:pt>
                <c:pt idx="1">
                  <c:v>242000.71999999997</c:v>
                </c:pt>
              </c:numCache>
            </c:numRef>
          </c:val>
          <c:extLst>
            <c:ext xmlns:c16="http://schemas.microsoft.com/office/drawing/2014/chart" uri="{C3380CC4-5D6E-409C-BE32-E72D297353CC}">
              <c16:uniqueId val="{00000003-96FE-4CC2-9EF3-D60E2C4932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[StocksPortfolio.xlsx]Pivot Tables!PivotTable5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c:f>
              <c:strCache>
                <c:ptCount val="1"/>
                <c:pt idx="0">
                  <c:v>Sum of Profit/loss</c:v>
                </c:pt>
              </c:strCache>
            </c:strRef>
          </c:tx>
          <c:spPr>
            <a:solidFill>
              <a:schemeClr val="accent1"/>
            </a:solidFill>
            <a:ln>
              <a:noFill/>
            </a:ln>
            <a:effectLst/>
          </c:spPr>
          <c:invertIfNegative val="0"/>
          <c:cat>
            <c:strRef>
              <c:f>'Pivot Tables'!$A$35:$A$37</c:f>
              <c:strCache>
                <c:ptCount val="2"/>
                <c:pt idx="0">
                  <c:v>ETF</c:v>
                </c:pt>
                <c:pt idx="1">
                  <c:v>Stock</c:v>
                </c:pt>
              </c:strCache>
            </c:strRef>
          </c:cat>
          <c:val>
            <c:numRef>
              <c:f>'Pivot Tables'!$B$35:$B$37</c:f>
              <c:numCache>
                <c:formatCode>_ [$₹-4009]\ * #,##0.00_ ;_ [$₹-4009]\ * \-#,##0.00_ ;_ [$₹-4009]\ * "-"??_ ;_ @_ </c:formatCode>
                <c:ptCount val="2"/>
                <c:pt idx="0">
                  <c:v>-489.40999999999997</c:v>
                </c:pt>
                <c:pt idx="1">
                  <c:v>-8166.3799999999974</c:v>
                </c:pt>
              </c:numCache>
            </c:numRef>
          </c:val>
          <c:extLst>
            <c:ext xmlns:c16="http://schemas.microsoft.com/office/drawing/2014/chart" uri="{C3380CC4-5D6E-409C-BE32-E72D297353CC}">
              <c16:uniqueId val="{00000000-DE8E-4D68-B861-CAE065CCEAC5}"/>
            </c:ext>
          </c:extLst>
        </c:ser>
        <c:ser>
          <c:idx val="1"/>
          <c:order val="1"/>
          <c:tx>
            <c:strRef>
              <c:f>'Pivot Tables'!$C$34</c:f>
              <c:strCache>
                <c:ptCount val="1"/>
                <c:pt idx="0">
                  <c:v>Sum of Total Invested</c:v>
                </c:pt>
              </c:strCache>
            </c:strRef>
          </c:tx>
          <c:spPr>
            <a:solidFill>
              <a:schemeClr val="accent2"/>
            </a:solidFill>
            <a:ln>
              <a:noFill/>
            </a:ln>
            <a:effectLst/>
          </c:spPr>
          <c:invertIfNegative val="0"/>
          <c:cat>
            <c:strRef>
              <c:f>'Pivot Tables'!$A$35:$A$37</c:f>
              <c:strCache>
                <c:ptCount val="2"/>
                <c:pt idx="0">
                  <c:v>ETF</c:v>
                </c:pt>
                <c:pt idx="1">
                  <c:v>Stock</c:v>
                </c:pt>
              </c:strCache>
            </c:strRef>
          </c:cat>
          <c:val>
            <c:numRef>
              <c:f>'Pivot Tables'!$C$35:$C$37</c:f>
              <c:numCache>
                <c:formatCode>_("₹"* #,##0.00_);_("₹"* \(#,##0.00\);_("₹"* "-"??_);_(@_)</c:formatCode>
                <c:ptCount val="2"/>
                <c:pt idx="0">
                  <c:v>15561.939999999999</c:v>
                </c:pt>
                <c:pt idx="1">
                  <c:v>242000.71999999997</c:v>
                </c:pt>
              </c:numCache>
            </c:numRef>
          </c:val>
          <c:extLst>
            <c:ext xmlns:c16="http://schemas.microsoft.com/office/drawing/2014/chart" uri="{C3380CC4-5D6E-409C-BE32-E72D297353CC}">
              <c16:uniqueId val="{00000001-DE8E-4D68-B861-CAE065CCEAC5}"/>
            </c:ext>
          </c:extLst>
        </c:ser>
        <c:dLbls>
          <c:showLegendKey val="0"/>
          <c:showVal val="0"/>
          <c:showCatName val="0"/>
          <c:showSerName val="0"/>
          <c:showPercent val="0"/>
          <c:showBubbleSize val="0"/>
        </c:dLbls>
        <c:gapWidth val="219"/>
        <c:overlap val="-27"/>
        <c:axId val="790723232"/>
        <c:axId val="790719872"/>
      </c:barChart>
      <c:catAx>
        <c:axId val="7907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19872"/>
        <c:crosses val="autoZero"/>
        <c:auto val="1"/>
        <c:lblAlgn val="ctr"/>
        <c:lblOffset val="100"/>
        <c:noMultiLvlLbl val="0"/>
      </c:catAx>
      <c:valAx>
        <c:axId val="79071987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984250</xdr:colOff>
      <xdr:row>0</xdr:row>
      <xdr:rowOff>139700</xdr:rowOff>
    </xdr:from>
    <xdr:to>
      <xdr:col>9</xdr:col>
      <xdr:colOff>495300</xdr:colOff>
      <xdr:row>15</xdr:row>
      <xdr:rowOff>120650</xdr:rowOff>
    </xdr:to>
    <xdr:graphicFrame macro="">
      <xdr:nvGraphicFramePr>
        <xdr:cNvPr id="2" name="Chart 1">
          <a:extLst>
            <a:ext uri="{FF2B5EF4-FFF2-40B4-BE49-F238E27FC236}">
              <a16:creationId xmlns:a16="http://schemas.microsoft.com/office/drawing/2014/main" id="{3830633A-0D90-C3D3-A7B5-1E6FFD5C1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279400</xdr:colOff>
      <xdr:row>16</xdr:row>
      <xdr:rowOff>101600</xdr:rowOff>
    </xdr:from>
    <xdr:to>
      <xdr:col>12</xdr:col>
      <xdr:colOff>584200</xdr:colOff>
      <xdr:row>31</xdr:row>
      <xdr:rowOff>82550</xdr:rowOff>
    </xdr:to>
    <xdr:graphicFrame macro="">
      <xdr:nvGraphicFramePr>
        <xdr:cNvPr id="3" name="Chart 2">
          <a:extLst>
            <a:ext uri="{FF2B5EF4-FFF2-40B4-BE49-F238E27FC236}">
              <a16:creationId xmlns:a16="http://schemas.microsoft.com/office/drawing/2014/main" id="{D580AC83-B136-3E43-5249-417AA2AEA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32</xdr:row>
      <xdr:rowOff>50800</xdr:rowOff>
    </xdr:from>
    <xdr:to>
      <xdr:col>11</xdr:col>
      <xdr:colOff>342900</xdr:colOff>
      <xdr:row>47</xdr:row>
      <xdr:rowOff>31750</xdr:rowOff>
    </xdr:to>
    <xdr:graphicFrame macro="">
      <xdr:nvGraphicFramePr>
        <xdr:cNvPr id="4" name="Chart 3">
          <a:extLst>
            <a:ext uri="{FF2B5EF4-FFF2-40B4-BE49-F238E27FC236}">
              <a16:creationId xmlns:a16="http://schemas.microsoft.com/office/drawing/2014/main" id="{28849FCC-2059-5CEA-E458-194C44100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Chinthireddy" refreshedDate="45613.691758449073" createdVersion="8" refreshedVersion="8" minRefreshableVersion="3" recordCount="16" xr:uid="{75E99A55-3F5D-4B11-ADB6-5A041D9FFCBC}">
  <cacheSource type="worksheet">
    <worksheetSource ref="A1:E226" sheet="Stock Purchase History"/>
  </cacheSource>
  <cacheFields count="5">
    <cacheField name="Month " numFmtId="0">
      <sharedItems containsBlank="1"/>
    </cacheField>
    <cacheField name="Stock Ticker" numFmtId="0">
      <sharedItems containsBlank="1" count="10">
        <s v="CIPLA"/>
        <s v="RELIANCE"/>
        <s v="NTPC"/>
        <s v="CGPOWER"/>
        <s v="VBL"/>
        <s v="COALINDIA"/>
        <s v="HCLTECH"/>
        <s v="CONCOR"/>
        <s v="LM"/>
        <m/>
      </sharedItems>
    </cacheField>
    <cacheField name="Bought price" numFmtId="0">
      <sharedItems containsString="0" containsBlank="1" containsNumber="1" minValue="392.55" maxValue="1867.3"/>
    </cacheField>
    <cacheField name="Amount" numFmtId="0">
      <sharedItems containsString="0" containsBlank="1" containsNumber="1" containsInteger="1" minValue="0" maxValue="10"/>
    </cacheField>
    <cacheField name="Total amount" numFmtId="0">
      <sharedItems containsString="0" containsBlank="1" containsNumber="1" minValue="0" maxValue="13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Bhanu Chinthireddy" refreshedDate="45613.691758680558" createdVersion="8" refreshedVersion="8" minRefreshableVersion="3" recordCount="35" xr:uid="{663AAD04-34BA-4839-8120-1DC3A9A5FCFD}">
  <cacheSource type="worksheet">
    <worksheetSource ref="A1:K36" sheet="Portfolio Analysis"/>
  </cacheSource>
  <cacheFields count="11">
    <cacheField name="Stock" numFmtId="0">
      <sharedItems/>
    </cacheField>
    <cacheField name="Official Name" numFmtId="0">
      <sharedItems/>
    </cacheField>
    <cacheField name="Industry" numFmtId="0">
      <sharedItems count="18">
        <s v="Pharmaceuticals"/>
        <s v="Oil &amp; Gas"/>
        <s v="Electrical Utilities &amp; IPPs"/>
        <s v="Machinery, Equipment &amp; Components"/>
        <s v="Beverages"/>
        <s v="Coal"/>
        <s v="Software &amp; IT Services"/>
        <s v="Freight &amp; Logistics Services"/>
        <s v="Banking Services"/>
        <s v="Food &amp; Tobacco"/>
        <s v="Transport Infrastructure"/>
        <s v="Automobiles &amp; Auto Parts"/>
        <s v="Communications &amp; Networking"/>
        <s v="Aerospace &amp; Defense"/>
        <s v="Metals &amp; Mining"/>
        <s v="Construction &amp; Engineering"/>
        <s v="Textiles &amp; Apparel"/>
        <s v="ETF"/>
      </sharedItems>
    </cacheField>
    <cacheField name="Instrument Type" numFmtId="0">
      <sharedItems count="2">
        <s v="Stock"/>
        <s v="ETF"/>
      </sharedItems>
    </cacheField>
    <cacheField name="Avg Purchased Price" numFmtId="44">
      <sharedItems containsSemiMixedTypes="0" containsString="0" containsNumber="1" minValue="1.84" maxValue="1767.68"/>
    </cacheField>
    <cacheField name="Quantity" numFmtId="0">
      <sharedItems containsSemiMixedTypes="0" containsString="0" containsNumber="1" containsInteger="1" minValue="3" maxValue="676"/>
    </cacheField>
    <cacheField name="Total Invested" numFmtId="44">
      <sharedItems containsSemiMixedTypes="0" containsString="0" containsNumber="1" minValue="33.840000000000003" maxValue="29024"/>
    </cacheField>
    <cacheField name="Current Price" numFmtId="164">
      <sharedItems containsSemiMixedTypes="0" containsString="0" containsNumber="1" minValue="1.95" maxValue="1858.95"/>
    </cacheField>
    <cacheField name="Present Total" numFmtId="164">
      <sharedItems containsSemiMixedTypes="0" containsString="0" containsNumber="1" minValue="31.92" maxValue="29995"/>
    </cacheField>
    <cacheField name="Profit/loss" numFmtId="164">
      <sharedItems containsSemiMixedTypes="0" containsString="0" containsNumber="1" minValue="-1546.0600000000013" maxValue="971"/>
    </cacheField>
    <cacheField name="Percent change" numFmtId="166">
      <sharedItems containsSemiMixedTypes="0" containsString="0" containsNumber="1" minValue="-51.645482313528426" maxValue="5.9782608695652089"/>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663AAD04-34BA-4839-8120-1DC3A9A5FCFD}" pivotIgnoreInvalidCache="1" r:id="r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November"/>
    <x v="0"/>
    <n v="1300"/>
    <n v="10"/>
    <n v="13000"/>
  </r>
  <r>
    <s v="November"/>
    <x v="1"/>
    <n v="1552.8"/>
    <n v="3"/>
    <n v="4658.3999999999996"/>
  </r>
  <r>
    <s v="November"/>
    <x v="2"/>
    <n v="1272.7"/>
    <n v="6"/>
    <n v="7636.2000000000007"/>
  </r>
  <r>
    <s v="November"/>
    <x v="3"/>
    <n v="392.55"/>
    <n v="2"/>
    <n v="785.1"/>
  </r>
  <r>
    <s v="November"/>
    <x v="4"/>
    <n v="727.5"/>
    <n v="4"/>
    <n v="2910"/>
  </r>
  <r>
    <s v="November"/>
    <x v="5"/>
    <n v="590.79999999999995"/>
    <n v="0"/>
    <n v="0"/>
  </r>
  <r>
    <s v="November"/>
    <x v="6"/>
    <n v="421.55"/>
    <n v="2"/>
    <n v="843.1"/>
  </r>
  <r>
    <s v="November"/>
    <x v="7"/>
    <n v="1867.3"/>
    <n v="1"/>
    <n v="1867.3"/>
  </r>
  <r>
    <s v="December "/>
    <x v="0"/>
    <n v="1250"/>
    <n v="8"/>
    <n v="10000"/>
  </r>
  <r>
    <s v="December "/>
    <x v="8"/>
    <n v="500"/>
    <n v="10"/>
    <n v="5000"/>
  </r>
  <r>
    <m/>
    <x v="9"/>
    <m/>
    <m/>
    <m/>
  </r>
  <r>
    <m/>
    <x v="9"/>
    <m/>
    <m/>
    <m/>
  </r>
  <r>
    <m/>
    <x v="9"/>
    <m/>
    <m/>
    <m/>
  </r>
  <r>
    <m/>
    <x v="9"/>
    <m/>
    <m/>
    <m/>
  </r>
  <r>
    <m/>
    <x v="9"/>
    <m/>
    <m/>
    <m/>
  </r>
  <r>
    <m/>
    <x v="9"/>
    <m/>
    <m/>
    <m/>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CIPLA LIMITED (XNSE:CIPLA)"/>
    <s v="CIPLA LIMITED"/>
    <x v="0"/>
    <x v="0"/>
    <n v="1451.2"/>
    <n v="20"/>
    <n v="29024"/>
    <n v="1499.75"/>
    <n v="29995"/>
    <n v="971"/>
    <n v="3.3455071664829106"/>
  </r>
  <r>
    <s v="RELIANCE INDUSTRIES LIMITED (XNSE:RELIANCE)"/>
    <s v="RELIANCE INDUSTRIES LIMITED"/>
    <x v="1"/>
    <x v="0"/>
    <n v="1339.27"/>
    <n v="15"/>
    <n v="20089.05"/>
    <n v="1267.5999999999999"/>
    <n v="19014"/>
    <n v="-1075.0499999999993"/>
    <n v="-5.3514227900273994"/>
  </r>
  <r>
    <s v="NTPC LIMITED (XNSE:NTPC)"/>
    <s v="NTPC LIMITED"/>
    <x v="2"/>
    <x v="0"/>
    <n v="406.11"/>
    <n v="46"/>
    <n v="18681.060000000001"/>
    <n v="372.5"/>
    <n v="17135"/>
    <n v="-1546.0600000000013"/>
    <n v="-8.2760828346999631"/>
  </r>
  <r>
    <s v="CG POWER AND INDUSTRIAL SOLUTIONS LIMITED (XNSE:CGPOWER)"/>
    <s v="CG POWER AND INDUSTRIAL SOLUTIONS LIMITED"/>
    <x v="3"/>
    <x v="0"/>
    <n v="726.54"/>
    <n v="22"/>
    <n v="15983.88"/>
    <n v="695.1"/>
    <n v="15292.2"/>
    <n v="-691.67999999999847"/>
    <n v="-4.327359815013617"/>
  </r>
  <r>
    <s v="VARUN BEVERAGES LIMITED (XNSE:VBL)"/>
    <s v="VARUN BEVERAGES LIMITED"/>
    <x v="4"/>
    <x v="0"/>
    <n v="604.30999999999995"/>
    <n v="24"/>
    <n v="14503.439999999999"/>
    <n v="575.65"/>
    <n v="13815.599999999999"/>
    <n v="-687.84000000000015"/>
    <n v="-4.7425989972034239"/>
  </r>
  <r>
    <s v="COAL INDIA LTD (XBOM:533278)"/>
    <s v="COAL INDIA LTD"/>
    <x v="5"/>
    <x v="0"/>
    <n v="455.23"/>
    <n v="31"/>
    <n v="14112.130000000001"/>
    <n v="409.75"/>
    <n v="12702.25"/>
    <n v="-1409.880000000001"/>
    <n v="-9.9905542253366502"/>
  </r>
  <r>
    <s v="HCL TECHNOLOGIES LIMITED (XNSE:HCLTECH)"/>
    <s v="HCL TECHNOLOGIES LIMITED"/>
    <x v="6"/>
    <x v="0"/>
    <n v="1767.68"/>
    <n v="8"/>
    <n v="14141.44"/>
    <n v="1858.95"/>
    <n v="14871.6"/>
    <n v="730.15999999999985"/>
    <n v="5.1632648443157123"/>
  </r>
  <r>
    <s v="CONTAINER CORPORATION OF INDIA LIMITED (XNSE:CONCOR)"/>
    <s v="CONTAINER CORPORATION OF INDIA LIMITED"/>
    <x v="7"/>
    <x v="0"/>
    <n v="828.53"/>
    <n v="15"/>
    <n v="12427.949999999999"/>
    <n v="785.65"/>
    <n v="11784.75"/>
    <n v="-643.19999999999891"/>
    <n v="-5.1754311853523625"/>
  </r>
  <r>
    <s v="REC LIMITED (XNSE:RECLTD)"/>
    <s v="REC LIMITED"/>
    <x v="8"/>
    <x v="0"/>
    <n v="513.24"/>
    <n v="19"/>
    <n v="9751.56"/>
    <n v="502.35"/>
    <n v="9544.65"/>
    <n v="-206.90999999999985"/>
    <n v="-2.1218143558569076"/>
  </r>
  <r>
    <s v="State Bank of India (XBOM:500112)"/>
    <s v="State Bank of India"/>
    <x v="8"/>
    <x v="0"/>
    <n v="799.38"/>
    <n v="12"/>
    <n v="9592.56"/>
    <n v="804.05"/>
    <n v="9648.5999999999985"/>
    <n v="56.039999999999054"/>
    <n v="0.58420275713677117"/>
  </r>
  <r>
    <s v="OIL AND NATURAL GAS CORPORATION LIMITED (XNSE:ONGC)"/>
    <s v="OIL AND NATURAL GAS CORPORATION LIMITED"/>
    <x v="1"/>
    <x v="0"/>
    <n v="273.67"/>
    <n v="30"/>
    <n v="8210.1"/>
    <n v="250.8"/>
    <n v="7524"/>
    <n v="-686.10000000000036"/>
    <n v="-8.3567800635802278"/>
  </r>
  <r>
    <s v="ITC LIMITED (XBOM:500875)"/>
    <s v="ITC LIMITED"/>
    <x v="9"/>
    <x v="0"/>
    <n v="483.83"/>
    <n v="16"/>
    <n v="7741.28"/>
    <n v="465.85"/>
    <n v="7453.6"/>
    <n v="-287.67999999999938"/>
    <n v="-3.7161813033503424"/>
  </r>
  <r>
    <s v="JSW INFRASTRUCTURE LIMITED (XNSE:JSWINFRA)"/>
    <s v="JSW INFRASTRUCTURE LIMITED"/>
    <x v="10"/>
    <x v="0"/>
    <n v="287.54000000000002"/>
    <n v="23"/>
    <n v="6613.42"/>
    <n v="290.60000000000002"/>
    <n v="6683.8"/>
    <n v="70.380000000000109"/>
    <n v="1.0641997635111653"/>
  </r>
  <r>
    <s v="CESC LTD (XNSE:CESC)"/>
    <s v="CESC LTD"/>
    <x v="2"/>
    <x v="0"/>
    <n v="182.72"/>
    <n v="38"/>
    <n v="6943.36"/>
    <n v="174.96"/>
    <n v="6648.4800000000005"/>
    <n v="-294.8799999999992"/>
    <n v="-4.2469352014010395"/>
  </r>
  <r>
    <s v="SAMVARDHANA MOTHERSON INTERNATIONAL LIMITED (XNSE:MOTHERSON)"/>
    <s v="SAMVARDHANA MOTHERSON INTERNATIONAL LIMITED"/>
    <x v="11"/>
    <x v="0"/>
    <n v="194.49"/>
    <n v="35"/>
    <n v="6807.1500000000005"/>
    <n v="165.36"/>
    <n v="5787.6"/>
    <n v="-1019.5500000000002"/>
    <n v="-14.977633811507019"/>
  </r>
  <r>
    <s v="HFCL LIMITED (XNSE:HFCL)"/>
    <s v="HFCL LIMITED"/>
    <x v="12"/>
    <x v="0"/>
    <n v="121.39"/>
    <n v="49"/>
    <n v="5948.11"/>
    <n v="126.89"/>
    <n v="6217.61"/>
    <n v="269.5"/>
    <n v="4.530850976192438"/>
  </r>
  <r>
    <s v="POWER GRID CORPORATION OF INDIA LIMITED (XNSE:POWERGRID)"/>
    <s v="POWER GRID CORPORATION OF INDIA LIMITED"/>
    <x v="2"/>
    <x v="0"/>
    <n v="319.12"/>
    <n v="18"/>
    <n v="5744.16"/>
    <n v="312.10000000000002"/>
    <n v="5617.8"/>
    <n v="-126.35999999999967"/>
    <n v="-2.1997994484833234"/>
  </r>
  <r>
    <s v="BHARAT ELECTRONICS LIMITED (XBOM:500049)"/>
    <s v="BHARAT ELECTRONICS LIMITED"/>
    <x v="13"/>
    <x v="0"/>
    <n v="269.13"/>
    <n v="20"/>
    <n v="5382.6"/>
    <n v="281.05"/>
    <n v="5621"/>
    <n v="238.39999999999964"/>
    <n v="4.4290863151636684"/>
  </r>
  <r>
    <s v="INDIAN RENEWABLE ENERGY DEVELOPMENT AGENCY LIMITED (XNSE:IREDA)"/>
    <s v="INDIAN RENEWABLE ENERGY DEVELOPMENT AGENCY LIMITED"/>
    <x v="8"/>
    <x v="0"/>
    <n v="211.45"/>
    <n v="27"/>
    <n v="5709.15"/>
    <n v="189.86"/>
    <n v="5126.22"/>
    <n v="-582.92999999999938"/>
    <n v="-10.21045164341451"/>
  </r>
  <r>
    <s v="MOTHERSON SUMI WIRING INDIA LIMITED (XNSE:MSUMI)"/>
    <s v="MOTHERSON SUMI WIRING INDIA LIMITED"/>
    <x v="11"/>
    <x v="0"/>
    <n v="62.08"/>
    <n v="68"/>
    <n v="4221.4399999999996"/>
    <n v="60.93"/>
    <n v="4143.24"/>
    <n v="-78.199999999999818"/>
    <n v="-1.8524484536082433"/>
  </r>
  <r>
    <s v="TEXMACO RAIL &amp; ENGINEERING LIMITED (XNSE:TEXRAIL)"/>
    <s v="TEXMACO RAIL &amp; ENGINEERING LIMITED"/>
    <x v="3"/>
    <x v="0"/>
    <n v="195.98"/>
    <n v="18"/>
    <n v="3527.64"/>
    <n v="199.24"/>
    <n v="3586.32"/>
    <n v="58.680000000000291"/>
    <n v="1.6634350443922932"/>
  </r>
  <r>
    <s v="NMDC LIMITED (XNSE:NMDC)"/>
    <s v="NMDC LIMITED"/>
    <x v="14"/>
    <x v="0"/>
    <n v="215.13"/>
    <n v="16"/>
    <n v="3442.08"/>
    <n v="218.8"/>
    <n v="3500.8"/>
    <n v="58.720000000000255"/>
    <n v="1.7059452424115726"/>
  </r>
  <r>
    <s v="IRB INFRASTRUCTURE DEVELOPERS LIMITED (XNSE:IRB)"/>
    <s v="IRB INFRASTRUCTURE DEVELOPERS LIMITED"/>
    <x v="15"/>
    <x v="0"/>
    <n v="51.71"/>
    <n v="64"/>
    <n v="3309.44"/>
    <n v="47.76"/>
    <n v="3056.64"/>
    <n v="-252.80000000000018"/>
    <n v="-7.638754592922071"/>
  </r>
  <r>
    <s v="JINDAL STAINLESS LIMITED (XNSE:JSL)"/>
    <s v="JINDAL STAINLESS LIMITED"/>
    <x v="14"/>
    <x v="0"/>
    <n v="657.55"/>
    <n v="5"/>
    <n v="3287.75"/>
    <n v="694.55"/>
    <n v="3472.75"/>
    <n v="185"/>
    <n v="5.6269485210250174"/>
  </r>
  <r>
    <s v="JAIPRAKASH POWER VENTURES LIMITED (XNSE:JPPOWER)"/>
    <s v="JAIPRAKASH POWER VENTURES LIMITED"/>
    <x v="2"/>
    <x v="0"/>
    <n v="18.170000000000002"/>
    <n v="123"/>
    <n v="2234.9100000000003"/>
    <n v="16.690000000000001"/>
    <n v="2052.8700000000003"/>
    <n v="-182.03999999999996"/>
    <n v="-8.1452944413868984"/>
  </r>
  <r>
    <s v="JTL INDUSTRIES LIMITED (XNSE:JTLIND)"/>
    <s v="JTL INDUSTRIES LIMITED"/>
    <x v="14"/>
    <x v="0"/>
    <n v="202.98"/>
    <n v="10"/>
    <n v="2029.8"/>
    <n v="98.15"/>
    <n v="981.5"/>
    <n v="-1048.3"/>
    <n v="-51.645482313528426"/>
  </r>
  <r>
    <s v="FRANKLIN INDUSTRIES LIMITED (XBOM:540190)"/>
    <s v="FRANKLIN INDUSTRIES LIMITED"/>
    <x v="16"/>
    <x v="0"/>
    <n v="1.84"/>
    <n v="676"/>
    <n v="1243.8400000000001"/>
    <n v="1.95"/>
    <n v="1318.2"/>
    <n v="74.3599999999999"/>
    <n v="5.9782608695652089"/>
  </r>
  <r>
    <s v="ORIENT GREEN POWER COMPANY LIMITED (XNSE:GREENPOWER)"/>
    <s v="ORIENT GREEN POWER COMPANY LIMITED"/>
    <x v="2"/>
    <x v="0"/>
    <n v="18.899999999999999"/>
    <n v="40"/>
    <n v="756"/>
    <n v="17.89"/>
    <n v="715.6"/>
    <n v="-40.399999999999977"/>
    <n v="-5.3439153439153406"/>
  </r>
  <r>
    <s v="PATEL ENGINEERING LIMITED (XNSE:PATELENG)"/>
    <s v="PATEL ENGINEERING LIMITED"/>
    <x v="15"/>
    <x v="0"/>
    <n v="51.05"/>
    <n v="5"/>
    <n v="255.25"/>
    <n v="51.12"/>
    <n v="255.6"/>
    <n v="0.34999999999999432"/>
    <n v="0.13712047012732392"/>
  </r>
  <r>
    <s v="NHPC Limited (XNSE:NHPC)"/>
    <s v="NHPC Limited"/>
    <x v="2"/>
    <x v="0"/>
    <n v="84.11"/>
    <n v="3"/>
    <n v="252.32999999999998"/>
    <n v="78.38"/>
    <n v="235.14"/>
    <n v="-17.189999999999998"/>
    <n v="-6.8125074307454518"/>
  </r>
  <r>
    <s v="SEACOAST SHIPPING SERVICES LIMITED (XBOM:542753)"/>
    <s v="SEACOAST SHIPPING SERVICES LIMITED"/>
    <x v="7"/>
    <x v="0"/>
    <n v="4.2300000000000004"/>
    <n v="8"/>
    <n v="33.840000000000003"/>
    <n v="3.99"/>
    <n v="31.92"/>
    <n v="-1.9200000000000017"/>
    <n v="-5.6737588652482316"/>
  </r>
  <r>
    <s v="Bharat 22 ETF (XNSE:ICICIB22)"/>
    <s v="Bharat 22 ETF"/>
    <x v="17"/>
    <x v="1"/>
    <n v="110.84"/>
    <n v="50"/>
    <n v="5542"/>
    <n v="108.7"/>
    <n v="5435"/>
    <n v="-107"/>
    <n v="-1.9307109346806206"/>
  </r>
  <r>
    <s v="Motilal Oswal Nifty SC 250 ETF (XNSE:MOSMALL250)"/>
    <s v="Motilal Oswal Nifty SC 250 ETF"/>
    <x v="17"/>
    <x v="1"/>
    <n v="17.579999999999998"/>
    <n v="203"/>
    <n v="3568.74"/>
    <n v="16.86"/>
    <n v="3422.58"/>
    <n v="-146.15999999999985"/>
    <n v="-4.0955631399317367"/>
  </r>
  <r>
    <s v="MotilalOswal NiftyMidcap100ETF (XNSE:MOM100)"/>
    <s v="MotilalOswal NiftyMidcap100ETF"/>
    <x v="17"/>
    <x v="1"/>
    <n v="60.16"/>
    <n v="90"/>
    <n v="5414.4"/>
    <n v="57.94"/>
    <n v="5214.5999999999995"/>
    <n v="-199.80000000000018"/>
    <n v="-3.6901595744680886"/>
  </r>
  <r>
    <s v="Nippon India Nifty Pharma ETF (XNSE:PHARMABEES)"/>
    <s v="Nippon India Nifty Pharma ETF"/>
    <x v="17"/>
    <x v="1"/>
    <n v="23.04"/>
    <n v="45"/>
    <n v="1036.8"/>
    <n v="22.23"/>
    <n v="1000.35"/>
    <n v="-36.449999999999932"/>
    <n v="-3.51562499999999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DDD3A6-4AD1-449B-A51D-5D50B3AEFBCC}"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4:C37" firstHeaderRow="0" firstDataRow="1" firstDataCol="1"/>
  <pivotFields count="11">
    <pivotField showAll="0"/>
    <pivotField showAll="0"/>
    <pivotField showAll="0"/>
    <pivotField axis="axisRow" showAll="0">
      <items count="3">
        <item x="1"/>
        <item x="0"/>
        <item t="default"/>
      </items>
    </pivotField>
    <pivotField numFmtId="44" showAll="0"/>
    <pivotField showAll="0"/>
    <pivotField dataField="1" numFmtId="44" showAll="0"/>
    <pivotField numFmtId="164" showAll="0"/>
    <pivotField numFmtId="164" showAll="0"/>
    <pivotField dataField="1" numFmtId="164" showAll="0"/>
    <pivotField numFmtId="166" showAll="0"/>
  </pivotFields>
  <rowFields count="1">
    <field x="3"/>
  </rowFields>
  <rowItems count="3">
    <i>
      <x/>
    </i>
    <i>
      <x v="1"/>
    </i>
    <i t="grand">
      <x/>
    </i>
  </rowItems>
  <colFields count="1">
    <field x="-2"/>
  </colFields>
  <colItems count="2">
    <i>
      <x/>
    </i>
    <i i="1">
      <x v="1"/>
    </i>
  </colItems>
  <dataFields count="2">
    <dataField name="Sum of Profit/loss" fld="9" baseField="0" baseItem="0" numFmtId="164"/>
    <dataField name="Sum of Total Invested" fld="6" baseField="0" baseItem="0" numFmtId="4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659AEA-6A73-4F36-BEFD-F0931ACB58C1}"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B27" firstHeaderRow="1" firstDataRow="1" firstDataCol="1"/>
  <pivotFields count="11">
    <pivotField showAll="0"/>
    <pivotField showAll="0"/>
    <pivotField showAll="0"/>
    <pivotField axis="axisRow" showAll="0">
      <items count="3">
        <item x="1"/>
        <item x="0"/>
        <item t="default"/>
      </items>
    </pivotField>
    <pivotField numFmtId="44" showAll="0"/>
    <pivotField showAll="0"/>
    <pivotField dataField="1" numFmtId="44" showAll="0"/>
    <pivotField numFmtId="164" showAll="0"/>
    <pivotField numFmtId="164" showAll="0"/>
    <pivotField numFmtId="164" showAll="0"/>
    <pivotField numFmtId="166" showAll="0"/>
  </pivotFields>
  <rowFields count="1">
    <field x="3"/>
  </rowFields>
  <rowItems count="3">
    <i>
      <x/>
    </i>
    <i>
      <x v="1"/>
    </i>
    <i t="grand">
      <x/>
    </i>
  </rowItems>
  <colItems count="1">
    <i/>
  </colItems>
  <dataFields count="1">
    <dataField name="Sum of Total Invested" fld="6" baseField="0" baseItem="0" numFmtId="44"/>
  </dataFields>
  <chartFormats count="3">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0"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D144B-B813-4C8A-B861-63384BA98AB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0" firstHeaderRow="1" firstDataRow="1" firstDataCol="1"/>
  <pivotFields count="11">
    <pivotField showAll="0"/>
    <pivotField showAll="0"/>
    <pivotField axis="axisRow" showAll="0">
      <items count="19">
        <item x="13"/>
        <item x="11"/>
        <item x="8"/>
        <item x="4"/>
        <item x="5"/>
        <item x="12"/>
        <item x="15"/>
        <item x="2"/>
        <item x="17"/>
        <item x="9"/>
        <item x="7"/>
        <item x="3"/>
        <item x="14"/>
        <item x="1"/>
        <item x="0"/>
        <item x="6"/>
        <item x="16"/>
        <item x="10"/>
        <item t="default"/>
      </items>
    </pivotField>
    <pivotField showAll="0"/>
    <pivotField numFmtId="44" showAll="0"/>
    <pivotField showAll="0"/>
    <pivotField dataField="1" numFmtId="44" showAll="0"/>
    <pivotField numFmtId="164" showAll="0"/>
    <pivotField numFmtId="164" showAll="0"/>
    <pivotField numFmtId="164" showAll="0"/>
    <pivotField numFmtId="166" showAll="0"/>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Total Invested" fld="6"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3D4A8-B78E-4B0A-95B8-752AA8C93D3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CKS">
  <location ref="J2:L12" firstHeaderRow="0" firstDataRow="1" firstDataCol="1"/>
  <pivotFields count="5">
    <pivotField showAll="0"/>
    <pivotField axis="axisRow" showAll="0">
      <items count="11">
        <item x="3"/>
        <item x="0"/>
        <item x="5"/>
        <item x="7"/>
        <item x="6"/>
        <item x="2"/>
        <item x="1"/>
        <item x="4"/>
        <item h="1" x="9"/>
        <item x="8"/>
        <item t="default"/>
      </items>
    </pivotField>
    <pivotField showAll="0"/>
    <pivotField dataField="1" showAll="0"/>
    <pivotField dataField="1" showAll="0"/>
  </pivotFields>
  <rowFields count="1">
    <field x="1"/>
  </rowFields>
  <rowItems count="10">
    <i>
      <x/>
    </i>
    <i>
      <x v="1"/>
    </i>
    <i>
      <x v="2"/>
    </i>
    <i>
      <x v="3"/>
    </i>
    <i>
      <x v="4"/>
    </i>
    <i>
      <x v="5"/>
    </i>
    <i>
      <x v="6"/>
    </i>
    <i>
      <x v="7"/>
    </i>
    <i>
      <x v="9"/>
    </i>
    <i t="grand">
      <x/>
    </i>
  </rowItems>
  <colFields count="1">
    <field x="-2"/>
  </colFields>
  <colItems count="2">
    <i>
      <x/>
    </i>
    <i i="1">
      <x v="1"/>
    </i>
  </colItems>
  <dataFields count="2">
    <dataField name="Sum of Total amount" fld="4" baseField="0" baseItem="0"/>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
  <a r="36">
    <v t="r">2</v>
    <v t="r">5</v>
    <v t="r">8</v>
    <v t="r">11</v>
    <v t="r">14</v>
    <v t="r">104</v>
    <v t="r">20</v>
    <v t="r">23</v>
    <v t="r">26</v>
    <v t="r">107</v>
    <v t="r">32</v>
    <v t="r">35</v>
    <v t="r">37</v>
    <v t="r">40</v>
    <v t="r">43</v>
    <v t="r">46</v>
    <v t="r">49</v>
    <v t="r">52</v>
    <v t="r">54</v>
    <v t="r">57</v>
    <v t="r">60</v>
    <v t="r">63</v>
    <v t="r">66</v>
    <v t="r">69</v>
    <v t="r">72</v>
    <v t="r">75</v>
    <v t="r">78</v>
    <v t="r">81</v>
    <v t="r">84</v>
    <v t="r">87</v>
    <v t="r">90</v>
    <v t="r">93</v>
    <v t="r">95</v>
    <v t="r">98</v>
    <v t="r">101</v>
    <v t="i">2</v>
  </a>
</arrayData>
</file>

<file path=xl/richData/rdrichvalue.xml><?xml version="1.0" encoding="utf-8"?>
<rvData xmlns="http://schemas.microsoft.com/office/spreadsheetml/2017/richdata" count="110">
  <rv s="0">
    <v>https://www.bing.com/financeapi/forcetrigger?t=ahhedm&amp;q=XNSE%3aCIPLA&amp;form=skydnc</v>
    <v>Learn more on Bing</v>
  </rv>
  <rv s="1">
    <v>en-IN</v>
    <v>ahhedm</v>
    <v>268435456</v>
    <v>1</v>
    <v>Powered by Refinitiv</v>
    <v>0</v>
    <v>CIPLA LIMITED (XNSE:CIPLA)</v>
    <v>2</v>
    <v>3</v>
    <v>Finance</v>
    <v>4</v>
    <v>1702.05</v>
    <v>1164.55</v>
    <v>0.4526</v>
    <v>-5.85</v>
    <v>-3.885E-3</v>
    <v>INR</v>
    <v>Cipla Limited is an India-based global pharmaceutical company. The Company is engaged in manufacturing, developing and marketing a wide range of branded and generic formulations and Active Pharmaceutical Ingredients (APIs). The Company operates through two segments: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Its geographical segments include India, the United States, South Africa, and the Rest of the World. It has its network of manufacturing, trading and other incidental operations in India and International markets.</v>
    <v>27764</v>
    <v>National Stock Exchange of India</v>
    <v>XNSE</v>
    <v>XNSE</v>
    <v>Cipla House, Peninsula Business Park, Ganpatrao Kadam Marg, Lower Parel,, MUMBAI, MAHARASHTRA, 400013 IN</v>
    <v>1517</v>
    <v>Pharmaceuticals</v>
    <v>Stock</v>
    <v>45610.556701388887</v>
    <v>0</v>
    <v>1490.25</v>
    <v>1211191000000</v>
    <v>CIPLA LIMITED</v>
    <v>CIPLA LIMITED</v>
    <v>1497</v>
    <v>27.059699999999999</v>
    <v>1505.6</v>
    <v>1499.75</v>
    <v>807595500</v>
    <v>CIPLA</v>
    <v>CIPLA LIMITED (XNSE:CIPLA)</v>
    <v>1469143</v>
    <v>1980220</v>
    <v>1935</v>
  </rv>
  <rv s="2">
    <v>1</v>
  </rv>
  <rv s="0">
    <v>https://www.bing.com/financeapi/forcetrigger?t=ahjo52&amp;q=XNSE%3aRELIANCE&amp;form=skydnc</v>
    <v>Learn more on Bing</v>
  </rv>
  <rv s="1">
    <v>en-IN</v>
    <v>ahjo52</v>
    <v>268435456</v>
    <v>1</v>
    <v>Powered by Refinitiv</v>
    <v>0</v>
    <v>RELIANCE INDUSTRIES LIMITED (XNSE:RELIANCE)</v>
    <v>2</v>
    <v>3</v>
    <v>Finance</v>
    <v>4</v>
    <v>1608.8</v>
    <v>1155.8499999999999</v>
    <v>1.0087999999999999</v>
    <v>15.55</v>
    <v>1.242E-2</v>
    <v>INR</v>
    <v>Reliance Industries Limited is an India-based company, which is engaged in the activities of hydrocarbon exploration and production, petroleum refining and marketing, petrochemicals, advanced materials and composites, renewables (solar and hydrogen), retail and digital services. The Company’s segments include Oil to Chemicals (O2C), Oil and Gas, Retail and Digital Services. O2C segment includes refining, petrochemicals, fuel retailing, aviation fuel and bulk wholesale marketing. It includes a portfolio spanning transportation fuels, polymers, polyesters and elastomers. Oil and Gas segment is engaged in exploration, development, production of crude oil and natural gas. Retail segment includes consumer retail and a range of related services. Digital Services segment is engaged in the provision of a range of digital services. Its subsidiaries include 7-India Convenience Retail Limited, Aaidea Solutions Limited, Star Television Productions Limited, and Star India Private Limited.</v>
    <v>347362</v>
    <v>National Stock Exchange of India</v>
    <v>XNSE</v>
    <v>XNSE</v>
    <v>Maker Chambers IV, Nariman Point, MUMBAI, MAHARASHTRA, 400021 IN</v>
    <v>1272.5999999999999</v>
    <v>Oil &amp; Gas</v>
    <v>Stock</v>
    <v>45610.556701388887</v>
    <v>3</v>
    <v>1251.0999999999999</v>
    <v>17153640000000</v>
    <v>RELIANCE INDUSTRIES LIMITED</v>
    <v>RELIANCE INDUSTRIES LIMITED</v>
    <v>1253.5999999999999</v>
    <v>25.258500000000002</v>
    <v>1252.05</v>
    <v>1267.5999999999999</v>
    <v>13532640000</v>
    <v>RELIANCE</v>
    <v>RELIANCE INDUSTRIES LIMITED (XNSE:RELIANCE)</v>
    <v>12612633</v>
    <v>13621720</v>
    <v>1973</v>
  </rv>
  <rv s="2">
    <v>4</v>
  </rv>
  <rv s="0">
    <v>https://www.bing.com/financeapi/forcetrigger?t=ahj8rw&amp;q=XNSE%3aNTPC&amp;form=skydnc</v>
    <v>Learn more on Bing</v>
  </rv>
  <rv s="1">
    <v>en-IN</v>
    <v>ahj8rw</v>
    <v>268435456</v>
    <v>1</v>
    <v>Powered by Refinitiv</v>
    <v>0</v>
    <v>NTPC LIMITED (XNSE:NTPC)</v>
    <v>2</v>
    <v>3</v>
    <v>Finance</v>
    <v>4</v>
    <v>448.45</v>
    <v>243.3</v>
    <v>0.8881</v>
    <v>-8.85</v>
    <v>-2.3206999999999998E-2</v>
    <v>INR</v>
    <v>NTPC Limited is an India-based power generating company. The Company is primarily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&amp; gas exploration, and coal mining. The Company operates a total of 92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21439</v>
    <v>National Stock Exchange of India</v>
    <v>XNSE</v>
    <v>XNSE</v>
    <v>NTPC Bhawan, SCOPE Complex, Institutional Area, Lodhi Road, NEW DELHI, DELHI, 110003 IN</v>
    <v>385.2</v>
    <v>Electrical Utilities &amp; IPPs</v>
    <v>Stock</v>
    <v>45610.556701388887</v>
    <v>6</v>
    <v>371.35</v>
    <v>3612008000000</v>
    <v>NTPC LIMITED</v>
    <v>NTPC LIMITED</v>
    <v>380.05</v>
    <v>16.3569</v>
    <v>381.35</v>
    <v>372.5</v>
    <v>9696666000</v>
    <v>NTPC</v>
    <v>NTPC LIMITED (XNSE:NTPC)</v>
    <v>15086601</v>
    <v>10598600</v>
    <v>1975</v>
  </rv>
  <rv s="2">
    <v>7</v>
  </rv>
  <rv s="0">
    <v>https://www.bing.com/financeapi/forcetrigger?t=ahhdmw&amp;q=XNSE%3aCGPOWER&amp;form=skydnc</v>
    <v>Learn more on Bing</v>
  </rv>
  <rv s="1">
    <v>en-IN</v>
    <v>ahhdmw</v>
    <v>268435456</v>
    <v>1</v>
    <v>Powered by Refinitiv</v>
    <v>0</v>
    <v>CG POWER AND INDUSTRIAL SOLUTIONS LIMITED (XNSE:CGPOWER)</v>
    <v>2</v>
    <v>3</v>
    <v>Finance</v>
    <v>4</v>
    <v>874.7</v>
    <v>379</v>
    <v>2.1362999999999999</v>
    <v>6.05</v>
    <v>8.7799999999999996E-3</v>
    <v>INR</v>
    <v>CG Power and Industrial Solutions Limited is an India-based company, which is engaged in providing end-to-end solutions to utilities, industries and consumers for the management and application of electrical energy. The Company’s segments include Power Systems and Industrial Systems. Power Business focuses on power transmission, distribution, power solutions, and setting up of integrated power systems. It manufactures power and distribution transformers, extra high voltage (EHV) and medium voltage circuit breakers, switchgears, EHV instrument transformers, lightning arrestors, and isolators. It offers turnkey solutions for transmission and distribution. Industrial Business is engaged in the business of power conversion equipment which includes a wide spectrum of Medium and Low Voltage Rotating Machines (Motors, Generators, Alternators), Drives and Stampings. Railways business supplies traction machines and systems, propulsion systems and signaling and coach products to Indian Railways.</v>
    <v>3113</v>
    <v>National Stock Exchange of India</v>
    <v>XNSE</v>
    <v>XNSE</v>
    <v>CG House, 6th Floor,, Dr Annie Besant Road,, Worli, MUMBAI, MAHARASHTRA, 400030 IN</v>
    <v>708</v>
    <v>Machinery, Equipment &amp; Components</v>
    <v>Stock</v>
    <v>45610.556701388887</v>
    <v>9</v>
    <v>691.75</v>
    <v>1062452000000</v>
    <v>CG POWER AND INDUSTRIAL SOLUTIONS LIMITED</v>
    <v>CG POWER AND INDUSTRIAL SOLUTIONS LIMITED</v>
    <v>698</v>
    <v>118.82859999999999</v>
    <v>689.05</v>
    <v>695.1</v>
    <v>1528488000</v>
    <v>CGPOWER</v>
    <v>CG POWER AND INDUSTRIAL SOLUTIONS LIMITED (XNSE:CGPOWER)</v>
    <v>1602611</v>
    <v>1841200</v>
    <v>1937</v>
  </rv>
  <rv s="2">
    <v>10</v>
  </rv>
  <rv s="0">
    <v>https://www.bing.com/financeapi/forcetrigger?t=ahkjqh&amp;q=XNSE%3aVBL&amp;form=skydnc</v>
    <v>Learn more on Bing</v>
  </rv>
  <rv s="1">
    <v>en-IN</v>
    <v>ahkjqh</v>
    <v>268435456</v>
    <v>1</v>
    <v>Powered by Refinitiv</v>
    <v>0</v>
    <v>VARUN BEVERAGES LIMITED (XNSE:VBL)</v>
    <v>2</v>
    <v>3</v>
    <v>Finance</v>
    <v>4</v>
    <v>681.12</v>
    <v>399.2</v>
    <v>1.2030000000000001</v>
    <v>7.55</v>
    <v>1.329E-2</v>
    <v>INR</v>
    <v>Varun Beverages Limited is an India-based company, which is a franchisee of PepsiCo. It produces and distributes a range of carbonated soft drinks (CSDs), as well as a large selection of non-carbonated beverages (NCBs), including packaged drinking water sold under trademarks owned by PepsiCo. PepsiCo CSD brands produced and sold by it include Pepsi, Pepsi Black, Mountain Dew, Sting, Seven-Up, Mirinda Orange, Seven-Up Nimbooz Masala Soda and Evervess. PepsiCo NCB brands produced and sold by it include Tropicana Slice, Tropicana Juices (100% and Delight), Seven-Up Nimbooz, Gatorade as well as packaged drinking water under the brand Aquafina. It has approximately 34 manufacturing plants in India and over six manufacturing plants in international geographies (two in Nepal and one each in Sri Lanka, Morocco, Zambia and Zimbabwe). Its subsidiaries include Varun Beverages (Nepal) Private Limited, Varun Beverages Lanka (Private) Limited, The Beverage Company Proprietary Limited, and others.</v>
    <v>9973</v>
    <v>National Stock Exchange of India</v>
    <v>XNSE</v>
    <v>XNSE</v>
    <v>Plot No. 31, Institutional Area, Sector - 44, GURGAON, HARYANA, 122002 IN</v>
    <v>596</v>
    <v>Beverages</v>
    <v>Stock</v>
    <v>45610.556712962964</v>
    <v>12</v>
    <v>570.29999999999995</v>
    <v>1870129000000</v>
    <v>VARUN BEVERAGES LIMITED</v>
    <v>VARUN BEVERAGES LIMITED</v>
    <v>575</v>
    <v>73.529799999999994</v>
    <v>568.1</v>
    <v>575.65</v>
    <v>3248725000</v>
    <v>VBL</v>
    <v>VARUN BEVERAGES LIMITED (XNSE:VBL)</v>
    <v>6805711</v>
    <v>4371720</v>
    <v>1995</v>
  </rv>
  <rv s="2">
    <v>13</v>
  </rv>
  <rv s="0">
    <v>https://www.bing.com/financeapi/forcetrigger?t=ahherw&amp;q=XNSE%3aCOALINDIA&amp;form=skydnc</v>
    <v>Learn more on Bing</v>
  </rv>
  <rv s="1">
    <v>en-IN</v>
    <v>ahherw</v>
    <v>268435456</v>
    <v>1</v>
    <v>Powered by Refinitiv</v>
    <v>0</v>
    <v>COAL INDIA LTD (XNSE:COALINDIA)</v>
    <v>2</v>
    <v>3</v>
    <v>Finance</v>
    <v>4</v>
    <v>543.54999999999995</v>
    <v>328.85</v>
    <v>0.82440000000000002</v>
    <v>2.85</v>
    <v>7.0039999999999998E-3</v>
    <v>INR</v>
    <v>Coal India Ltd. is an India-based coal mining company. The Company along with its subsidiaries is primarily involved in the mining and production of Coal. The Company has approximately 313 mines, consisting of 131 underground, 168 opencast, and 14 mixed mines. Its products and services Include Coking Coal, Semi Coking Coal, Non-Coking Coal, Washed and Beneficiated Coal, Middlings, CIL Coke / LTC Coke, Coal Fines / Coke Fines, and others. It has over 21 training Institutes and 76 Vocational Training Centers. The Company operates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228861</v>
    <v>National Stock Exchange of India</v>
    <v>XNSE</v>
    <v>XNSE</v>
    <v>Coal Bhawan, Premise No-04 MAR,, Plot No-AF-III,Action Area-1A,, Newtown,Rajarhat, KOLKATA, WEST BENGAL, 700156 IN</v>
    <v>413.35</v>
    <v>Coal</v>
    <v>Stock</v>
    <v>45610.556701388887</v>
    <v>15</v>
    <v>402.6</v>
    <v>2525178000000</v>
    <v>COAL INDIA LTD</v>
    <v>COAL INDIA LTD</v>
    <v>407.2</v>
    <v>6.1669999999999998</v>
    <v>406.9</v>
    <v>409.75</v>
    <v>6162729000</v>
    <v>COALINDIA</v>
    <v>COAL INDIA LTD (XNSE:COALINDIA)</v>
    <v>8776485</v>
    <v>8364250</v>
    <v>1973</v>
  </rv>
  <rv s="2">
    <v>16</v>
  </rv>
  <rv s="0">
    <v>https://www.bing.com/financeapi/forcetrigger?t=ahi3dm&amp;q=XNSE%3aHCLTECH&amp;form=skydnc</v>
    <v>Learn more on Bing</v>
  </rv>
  <rv s="1">
    <v>en-IN</v>
    <v>ahi3dm</v>
    <v>268435456</v>
    <v>1</v>
    <v>Powered by Refinitiv</v>
    <v>0</v>
    <v>HCL TECHNOLOGIES LIMITED (XNSE:HCLTECH)</v>
    <v>2</v>
    <v>3</v>
    <v>Finance</v>
    <v>4</v>
    <v>1897</v>
    <v>1235</v>
    <v>0.9022</v>
    <v>-5.8</v>
    <v>-3.1099999999999999E-3</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218621</v>
    <v>National Stock Exchange of India</v>
    <v>XNSE</v>
    <v>XNSE</v>
    <v>Technology Hub, SEZ, Plot No. 3A, Sector 126, NOIDA, UTTAR PRADESH, 201304 IN</v>
    <v>1897</v>
    <v>Software &amp; IT Services</v>
    <v>Stock</v>
    <v>45610.556701388887</v>
    <v>18</v>
    <v>1846.35</v>
    <v>5033248000000</v>
    <v>HCL TECHNOLOGIES LIMITED</v>
    <v>HCL TECHNOLOGIES LIMITED</v>
    <v>1872</v>
    <v>29.936199999999999</v>
    <v>1864.75</v>
    <v>1858.95</v>
    <v>2706133000</v>
    <v>HCLTECH</v>
    <v>HCL TECHNOLOGIES LIMITED (XNSE:HCLTECH)</v>
    <v>2462563</v>
    <v>2018400</v>
    <v>1991</v>
  </rv>
  <rv s="2">
    <v>19</v>
  </rv>
  <rv s="0">
    <v>https://www.bing.com/financeapi/forcetrigger?t=ahhfa2&amp;q=XNSE%3aCONCOR&amp;form=skydnc</v>
    <v>Learn more on Bing</v>
  </rv>
  <rv s="1">
    <v>en-IN</v>
    <v>ahhfa2</v>
    <v>268435456</v>
    <v>1</v>
    <v>Powered by Refinitiv</v>
    <v>0</v>
    <v>CONTAINER CORPORATION OF INDIA LIMITED (XNSE:CONCOR)</v>
    <v>2</v>
    <v>3</v>
    <v>Finance</v>
    <v>4</v>
    <v>1180</v>
    <v>730.6</v>
    <v>1.2347999999999999</v>
    <v>-6.7</v>
    <v>-8.456E-3</v>
    <v>INR</v>
    <v>Container Corporation of India Limited (CONCOR) is a holding company. The Company is engaged in logistics and transportation services. The Company operates through two segments: EXIM and Domestic. Both EXIM and Domestic divisions of the Company are engaged in handling, transportation, and warehousing activities. The Company is also engaged in the operation of transportation of containers by rail, transportation of containers by road, handling of containers, operation of logistics facilities including dry ports, container freight stations, and private freight terminals or warehousing and storage. Its international services include air cargo movements, bonded warehousing, reefer and cold chain services, and factory stuffing/destuffing. The Company’s domestic services include volume discount scheme, door delivery and pickups, and terminal handling charges. Its E-Filing software is a Web-based application for EXIM locations being operational at Terminal/Inland Container Depot of CONCOR.</v>
    <v>1297</v>
    <v>National Stock Exchange of India</v>
    <v>XNSE</v>
    <v>XNSE</v>
    <v>NSIC New MDBP Building, 3rd Floor,, Okhla Industrial Estate,, NEW DELHI, DELHI, 110020 IN</v>
    <v>795.55</v>
    <v>Freight &amp; Logistics Services</v>
    <v>Stock</v>
    <v>45610.556701388887</v>
    <v>21</v>
    <v>776.5</v>
    <v>478692100000</v>
    <v>CONTAINER CORPORATION OF INDIA LIMITED</v>
    <v>CONTAINER CORPORATION OF INDIA LIMITED</v>
    <v>792</v>
    <v>37.633800000000001</v>
    <v>792.35</v>
    <v>785.65</v>
    <v>609294400</v>
    <v>CONCOR</v>
    <v>CONTAINER CORPORATION OF INDIA LIMITED (XNSE:CONCOR)</v>
    <v>656637</v>
    <v>928870</v>
    <v>1988</v>
  </rv>
  <rv s="2">
    <v>22</v>
  </rv>
  <rv s="0">
    <v>https://www.bing.com/financeapi/forcetrigger?t=ahjn8m&amp;q=XNSE%3aRECLTD&amp;form=skydnc</v>
    <v>Learn more on Bing</v>
  </rv>
  <rv s="1">
    <v>en-IN</v>
    <v>ahjn8m</v>
    <v>268435456</v>
    <v>1</v>
    <v>Powered by Refinitiv</v>
    <v>0</v>
    <v>REC LIMITED (XNSE:RECLTD)</v>
    <v>2</v>
    <v>3</v>
    <v>Finance</v>
    <v>4</v>
    <v>654</v>
    <v>324.2</v>
    <v>1.0938000000000001</v>
    <v>-6.1</v>
    <v>-1.1997000000000001E-2</v>
    <v>INR</v>
    <v>REC Limited is a non-banking financial company (NBFC). The Company's products are interest-bearing loans to state electricity boards, state power utilities/state power departments and the private sector for all segments of power infrastructure. It operates in one business segment which is lending to power, logistics and infrastructure sectors. Its financial products include long-term loan, medium term loan, short-term loan, debt refinancing, equity financing, financing of equipment manufacturing for power sector, financing of coal mines, policy for funding against regulatory assets (excluding return on equity component) of power utilities and a revolving bill payment facility. Its debt refinancing policy is applicable for extending term loans for refinancing existing project term loan of all types of commissioned project in power sector, including renewable energy projects, by government and private sector borrowers. It acts as a nodal agency for the Government of India's schemes.</v>
    <v>512</v>
    <v>National Stock Exchange of India</v>
    <v>XNSE</v>
    <v>XNSE</v>
    <v>Plot No. I-4, Sector 29,, GURGAON, HARYANA, 122001 IN</v>
    <v>513.79999999999995</v>
    <v>Banking Services</v>
    <v>Stock</v>
    <v>45610.556701388887</v>
    <v>24</v>
    <v>500.3</v>
    <v>1322800000000</v>
    <v>REC LIMITED</v>
    <v>REC LIMITED</v>
    <v>510</v>
    <v>8.8874999999999993</v>
    <v>508.45</v>
    <v>502.35</v>
    <v>2633224000</v>
    <v>RECLTD</v>
    <v>REC LIMITED (XNSE:RECLTD)</v>
    <v>7471948</v>
    <v>7504510</v>
    <v>1969</v>
  </rv>
  <rv s="2">
    <v>25</v>
  </rv>
  <rv s="0">
    <v>https://www.bing.com/financeapi/forcetrigger?t=ahju6h&amp;q=XNSE%3aSBIN&amp;form=skydnc</v>
    <v>Learn more on Bing</v>
  </rv>
  <rv s="3">
    <v>en-IN</v>
    <v>ahju6h</v>
    <v>268435456</v>
    <v>1</v>
    <v>Powered by Refinitiv</v>
    <v>5</v>
    <v>State Bank of India (XNSE:SBIN)</v>
    <v>2</v>
    <v>6</v>
    <v>Finance</v>
    <v>4</v>
    <v>912</v>
    <v>555.15</v>
    <v>1.2818000000000001</v>
    <v>-4.4000000000000004</v>
    <v>-5.4410000000000005E-3</v>
    <v>INR</v>
    <v>State Bank of India is an India-based banking and financial services provider. The Company is engaged in providing a wide range of products and services to individuals, commercial enterprises, corporates, public bodies and institutional customers.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These include providing loans and transaction services to corporate and institutional clients and further include non-treasury operations of foreign offices/entities. The Retail Banking Segment is engaged in personal banking activities including lending activities to corporate customers having banking relations with its branches.</v>
    <v>232296</v>
    <v>National Stock Exchange of India</v>
    <v>XNSE</v>
    <v>XNSE</v>
    <v>Corporate Centre,14th Floor, State Bank Bhavan, Madame Cama Marg, MUMBAI, MAHARASHTRA, 400021 IN</v>
    <v>818</v>
    <v>Banking Services</v>
    <v>Stock</v>
    <v>45610.556701388887</v>
    <v>27</v>
    <v>801.05</v>
    <v>7177626000000</v>
    <v>State Bank of India</v>
    <v>State Bank of India</v>
    <v>808.65</v>
    <v>10.030900000000001</v>
    <v>808.65</v>
    <v>804.25</v>
    <v>8924620000</v>
    <v>SBIN</v>
    <v>State Bank of India (XNSE:SBIN)</v>
    <v>9461484</v>
    <v>14600550</v>
  </rv>
  <rv s="2">
    <v>28</v>
  </rv>
  <rv s="0">
    <v>https://www.bing.com/financeapi/forcetrigger?t=ahj9zr&amp;q=XNSE%3aONGC&amp;form=skydnc</v>
    <v>Learn more on Bing</v>
  </rv>
  <rv s="1">
    <v>en-IN</v>
    <v>ahj9zr</v>
    <v>268435456</v>
    <v>1</v>
    <v>Powered by Refinitiv</v>
    <v>0</v>
    <v>OIL AND NATURAL GAS CORPORATION LIMITED (XNSE:ONGC)</v>
    <v>2</v>
    <v>3</v>
    <v>Finance</v>
    <v>4</v>
    <v>345</v>
    <v>188.15</v>
    <v>1.0407</v>
    <v>-1.75</v>
    <v>-6.9289999999999994E-3</v>
    <v>INR</v>
    <v>Oil and Natural Gas Corporation Limited is an India-based crude oil and natural gas company. The Company is engaged in exploration, development and production of crude oil, natural gas and value-added products in India and acquisition of oil and gas acreages outside India for exploration, development and production, downstream (Refining and marketing of petroleum products), Petrochemicals, Power Generation, liquefied natural gas (LNG) supply, Pipeline Transportation, special economic zone (SEZ) development, Helicopter services, Manufacturing of Ethanol and Sugar, Green and Renewable energy business. Its segment includes Exploration and Production, and Refining and Marketing. Its geographical segments consist of India, which includes offshore and onshore, and Outside India. Its subsidiaries include Mangalore Refinery and Petrochemicals Limited, Hindustan Petroleum Corporation Limited, ONGC Videsh Limited, Petronet MHB Limited, ONGC Green Limited, and HPCL Biofuels Limited, among others.</v>
    <v>25847</v>
    <v>National Stock Exchange of India</v>
    <v>XNSE</v>
    <v>XNSE</v>
    <v>Deendayal Urja Bhawan, 5A, Nelson Mandela Marg, Vasant Kunj, NEW DELHI, DELHI, 110070 IN</v>
    <v>254.3</v>
    <v>Oil &amp; Gas</v>
    <v>Stock</v>
    <v>45610.556701388887</v>
    <v>30</v>
    <v>249</v>
    <v>3155134000000</v>
    <v>OIL AND NATURAL GAS CORPORATION LIMITED</v>
    <v>OIL AND NATURAL GAS CORPORATION LIMITED</v>
    <v>252.55</v>
    <v>6.9501999999999997</v>
    <v>252.55</v>
    <v>250.8</v>
    <v>12580280000</v>
    <v>ONGC</v>
    <v>OIL AND NATURAL GAS CORPORATION LIMITED (XNSE:ONGC)</v>
    <v>12454540</v>
    <v>12366900</v>
    <v>1993</v>
  </rv>
  <rv s="2">
    <v>31</v>
  </rv>
  <rv s="0">
    <v>https://www.bing.com/financeapi/forcetrigger?t=ah8bkr&amp;q=XBOM%3a500875&amp;form=skydnc</v>
    <v>Learn more on Bing</v>
  </rv>
  <rv s="1">
    <v>en-IN</v>
    <v>ah8bkr</v>
    <v>268435456</v>
    <v>1</v>
    <v>Powered by Refinitiv</v>
    <v>0</v>
    <v>ITC LIMITED (XBOM:500875)</v>
    <v>2</v>
    <v>3</v>
    <v>Finance</v>
    <v>7</v>
    <v>528.54999999999995</v>
    <v>399.3</v>
    <v>0.65910000000000002</v>
    <v>-6.3</v>
    <v>-1.3343000000000001E-2</v>
    <v>INR</v>
    <v>ITC Limited is an India-based holding company. Its segments include fast moving consumer goods (FMCG); Hotels; Paperboards, Paper and Packaging, and Agri Business. The FMCG segment consists of cigarettes, cigars and others, such as education and stationery products, personal care products, safety matches and agarbattis, and branded packaged foods businesses, which include staples and meals, snacks, dairy and beverages, biscuits and cakes, chocolates, and coffee and confectionery. The paperboards, Paper and Packaging segment includes specialty paper and packaging, including flexibles. The Agri Business segment includes Agri commodities such as wheat, rice, spices, coffee, soya, and leaf tobacco. The hotel segment has over 130 properties across more than 80 destinations. It operates hotels under six distinctive brands: ITC Hotels, Mementos, Welcomhotel, Storii, Fortune, and WelcomHeritage. Its hotels include ITC Grand Chola, Chennai, ITC Maratha, Mumbai, ITC Sonar, Kolkata and others.</v>
    <v>24567</v>
    <v>Bombay Stock Exchange</v>
    <v>XBOM</v>
    <v>XBOM</v>
    <v>Virginia House, 37 Jawaharlal Nehru Road, KOLKATA, WEST BENGAL, 700071 IN</v>
    <v>472.75</v>
    <v>Food &amp; Tobacco</v>
    <v>Stock</v>
    <v>45610.43855324074</v>
    <v>33</v>
    <v>462.1</v>
    <v>5831999000000</v>
    <v>ITC LIMITED</v>
    <v>ITC LIMITED</v>
    <v>470.55</v>
    <v>28.322199999999999</v>
    <v>472.15</v>
    <v>465.85</v>
    <v>12509690000</v>
    <v>500875</v>
    <v>ITC LIMITED (XBOM:500875)</v>
    <v>517699</v>
    <v>7683870</v>
    <v>1910</v>
  </rv>
  <rv s="2">
    <v>34</v>
  </rv>
  <rv s="4">
    <v>en-IN</v>
    <v>cazhgh</v>
    <v>268435456</v>
    <v>1</v>
    <v>Powered by Refinitiv</v>
    <v>8</v>
    <v>JSW INFRASTRUCTURE LIMITED (XNSE:JSWINFRA)</v>
    <v>9</v>
    <v>3</v>
    <v>Finance</v>
    <v>4</v>
    <v>360.95</v>
    <v>196.5</v>
    <v>2.1</v>
    <v>-0.5</v>
    <v>-1.7180000000000001E-3</v>
    <v>INR</v>
    <v>JSW Infrastructure Limited is an India-based company, The Company is focused on developing, operating, and maintaining ports services, ports-related infrastructure development activities, and development of infrastructure. It offers comprehensive maritime services that encompass cargo handling, storage solutions, logistics services, and value-added offerings, positioning it as an end-to-end logistics solutions provider. The Company handles a diverse range of cargo types, from dry bulk and break bulk to liquid bulk, gases, and containers. The Company's subsidiaries include JSW Jaigarh Port Limited, Southwest Port Limited, JSW Shipyard Private Limited, Nandgaon Port Private Limited, JSW Dharamtar Port Private Limited, JSW Mangalore Container Terminal Private Limited, Masad Infra Services Private Limited, Jaigarh Digni Rail Limited, JSW Salav Port Private Limited, JSW Paradip Terminal Private Limited, Paradip East Quay Coal Terminal Private Limited, among others.</v>
    <v>696</v>
    <v>National Stock Exchange of India</v>
    <v>XNSE</v>
    <v>XNSE</v>
    <v>JSW Centre, Bandra Kurla Complex, Bandra East, MUMBAI, MAHARASHTRA, 400051 IN</v>
    <v>296.89999999999998</v>
    <v>Transport Infrastructure</v>
    <v>Stock</v>
    <v>45610.556701388887</v>
    <v>288.8</v>
    <v>601967100000</v>
    <v>JSW INFRASTRUCTURE LIMITED</v>
    <v>JSW INFRASTRUCTURE LIMITED</v>
    <v>291.10000000000002</v>
    <v>48.150799999999997</v>
    <v>291.10000000000002</v>
    <v>290.60000000000002</v>
    <v>2071463000</v>
    <v>JSWINFRA</v>
    <v>JSW INFRASTRUCTURE LIMITED (XNSE:JSWINFRA)</v>
    <v>1571106</v>
    <v>1541790</v>
    <v>2006</v>
  </rv>
  <rv s="2">
    <v>36</v>
  </rv>
  <rv s="0">
    <v>https://www.bing.com/financeapi/forcetrigger?t=ahhdh7&amp;q=XNSE%3aCESC&amp;form=skydnc</v>
    <v>Learn more on Bing</v>
  </rv>
  <rv s="1">
    <v>en-IN</v>
    <v>ahhdh7</v>
    <v>268435456</v>
    <v>1</v>
    <v>Powered by Refinitiv</v>
    <v>0</v>
    <v>CESC LTD (XNSE:CESC)</v>
    <v>2</v>
    <v>3</v>
    <v>Finance</v>
    <v>4</v>
    <v>212.49</v>
    <v>89.05</v>
    <v>1.4837</v>
    <v>-0.02</v>
    <v>-1.1429999999999999E-4</v>
    <v>INR</v>
    <v>CESC Limited is an India-based integrated power utility company engaged in the generation and distribution of electricity. The Company’s operations span the value chain from mining coal, generating power and distribution of power. Its businesses consist of Kolkata operations as well as other generation and distribution ventures. Its Kolkata operations include distribution of electricity, with its own generation facilities, across its licensed area in Kolkata, Howrah, Hooghly, North and South 24 Parganas, West Bengal. Its generation projects include operational thermal and renewables projects, which are owned and operated by its subsidiaries. The Company has distribution license for Greater Noida, Uttar Pradesh; three distribution franchisees (DFs) in Kota, Bharatpur and Bikaner in Rajasthan; and THE DF in Malegaon, Maharashtra. Its subsidiaries include Haldia Energy Limited, Malegaon Power Supply Limited, Bhadla Three SKP Green Ventures Private Limited, and others.</v>
    <v>6087</v>
    <v>National Stock Exchange of India</v>
    <v>XNSE</v>
    <v>XNSE</v>
    <v>CESC House, Chowringhee Square, Kolkata, KOLKATA, WEST BENGAL, 700001 IN</v>
    <v>178.79</v>
    <v>Electrical Utilities &amp; IPPs</v>
    <v>Stock</v>
    <v>45610.556701388887</v>
    <v>38</v>
    <v>174.3</v>
    <v>231921800000</v>
    <v>CESC LTD</v>
    <v>CESC LTD</v>
    <v>174.98</v>
    <v>16.4071</v>
    <v>174.98</v>
    <v>174.96</v>
    <v>1325570000</v>
    <v>CESC</v>
    <v>CESC LTD (XNSE:CESC)</v>
    <v>2990972</v>
    <v>2884160</v>
    <v>1978</v>
  </rv>
  <rv s="2">
    <v>39</v>
  </rv>
  <rv s="0">
    <v>https://www.bing.com/financeapi/forcetrigger?t=ahj1u2&amp;q=XNSE%3aMOTHERSON&amp;form=skydnc</v>
    <v>Learn more on Bing</v>
  </rv>
  <rv s="1">
    <v>en-IN</v>
    <v>ahj1u2</v>
    <v>268435456</v>
    <v>1</v>
    <v>Powered by Refinitiv</v>
    <v>0</v>
    <v>SAMVARDHANA MOTHERSON INTERNATIONAL LIMITED (XNSE:MOTHERSON)</v>
    <v>2</v>
    <v>3</v>
    <v>Finance</v>
    <v>4</v>
    <v>216.99</v>
    <v>86.8</v>
    <v>1.8221000000000001</v>
    <v>5.47</v>
    <v>3.4210999999999998E-2</v>
    <v>INR</v>
    <v>Samvardhana Motherson International Limited is a globally diversified manufacturer. It is a full system solutions provider to customers in automotive and other industries. Its segments include Wiring harness, Modules and polymer products, Vision systems, Integrated assemblies and Emerging businesses. Wiring harness segment is engaged in the business of manufacturing and trading of wiring harnesses, its components and rendering of support service functions to wiring harness operations. Modules and polymer products segment is engaged in rendering of support service functions exclusively to modules and polymer products. Vision systems segment is engaged in the development, manufacturing and supplying of rearview mirrors and drive assistance systems. Integrated assemblies’ segment is engaged in high-quality integrated module assembly and logistics tailored for the automotive sector. Emerging businesses Comprise Elastomers, Lighting &amp; Electronics, Precision Metals &amp; Modules, and others.</v>
    <v>95426</v>
    <v>National Stock Exchange of India</v>
    <v>XNSE</v>
    <v>XNSE</v>
    <v>C-14 A &amp; B, Sector 1,, Distt. Gautam Budh Nagar, NOIDA, UTTAR PRADESH, 201301 IN</v>
    <v>168.31</v>
    <v>Automobiles &amp; Auto Parts</v>
    <v>Stock</v>
    <v>45610.556701388887</v>
    <v>41</v>
    <v>160.5</v>
    <v>1163522000000</v>
    <v>SAMVARDHANA MOTHERSON INTERNATIONAL LIMITED</v>
    <v>SAMVARDHANA MOTHERSON INTERNATIONAL LIMITED</v>
    <v>160.5</v>
    <v>29.547000000000001</v>
    <v>159.88999999999999</v>
    <v>165.36</v>
    <v>7036295000</v>
    <v>MOTHERSON</v>
    <v>SAMVARDHANA MOTHERSON INTERNATIONAL LIMITED (XNSE:MOTHERSON)</v>
    <v>25258283</v>
    <v>19132580</v>
    <v>1986</v>
  </rv>
  <rv s="2">
    <v>42</v>
  </rv>
  <rv s="0">
    <v>https://www.bing.com/financeapi/forcetrigger?t=ahi4oc&amp;q=XNSE%3aHFCL&amp;form=skydnc</v>
    <v>Learn more on Bing</v>
  </rv>
  <rv s="1">
    <v>en-IN</v>
    <v>ahi4oc</v>
    <v>268435456</v>
    <v>1</v>
    <v>Powered by Refinitiv</v>
    <v>0</v>
    <v>HFCL LIMITED (XNSE:HFCL)</v>
    <v>2</v>
    <v>3</v>
    <v>Finance</v>
    <v>4</v>
    <v>171</v>
    <v>65.650000000000006</v>
    <v>1.7833000000000001</v>
    <v>6.19</v>
    <v>5.1284000000000003E-2</v>
    <v>INR</v>
    <v>HFCL Limited is an India-based global technology company. The Company is a telecom infrastructure enabler, which is focused on telecom infrastructure development, system integration, and manufacturing and supply of telecom equipment, optical fiber and optic fiber cable (OFC). The Company provides turnkey solutions to telecom service providers, railways, defense, smart city and surveillance projects. Its segments include Telecom Products, Turnkey Contracts and Services, and Other. Its products include optical fiber and cables, such as optic fiber, micro cable, micro module cable, aerial cable, armored cable, unarmored cable, FTTH cable and passive connectivity solutions; telecom equipment, such as indoor and outdoor Wi-Fi 5 and 6 access point, ethernet L2/L3 switches, point to point unlicensed band radios and cloud based network management system, and electronics, such as electro optical devices, electronic fuses, VMS and video analytics and high-capacity radio relay.</v>
    <v>2114</v>
    <v>National Stock Exchange of India</v>
    <v>XNSE</v>
    <v>XNSE</v>
    <v>8, Commercial Complex,, Masjid Moth, Greater Kailash II,, NEW DELHI, DELHI, 110048 IN</v>
    <v>128.30000000000001</v>
    <v>Communications &amp; Networking</v>
    <v>Stock</v>
    <v>45610.556701388887</v>
    <v>44</v>
    <v>121.43</v>
    <v>182970500000</v>
    <v>HFCL LIMITED</v>
    <v>HFCL LIMITED</v>
    <v>121.65</v>
    <v>48.557299999999998</v>
    <v>120.7</v>
    <v>126.89</v>
    <v>1441962000</v>
    <v>HFCL</v>
    <v>HFCL LIMITED (XNSE:HFCL)</v>
    <v>29193373</v>
    <v>22670890</v>
    <v>1987</v>
  </rv>
  <rv s="2">
    <v>45</v>
  </rv>
  <rv s="0">
    <v>https://www.bing.com/financeapi/forcetrigger?t=ahjha2&amp;q=XNSE%3aPOWERGRID&amp;form=skydnc</v>
    <v>Learn more on Bing</v>
  </rv>
  <rv s="1">
    <v>en-IN</v>
    <v>ahjha2</v>
    <v>268435456</v>
    <v>1</v>
    <v>Powered by Refinitiv</v>
    <v>0</v>
    <v>POWER GRID CORPORATION OF INDIA LIMITED (XNSE:POWERGRID)</v>
    <v>2</v>
    <v>3</v>
    <v>Finance</v>
    <v>4</v>
    <v>366.25</v>
    <v>205.7</v>
    <v>0.63029999999999997</v>
    <v>-5.9</v>
    <v>-1.8553E-2</v>
    <v>INR</v>
    <v>Power Grid Corporation of India Limited is a power transmission company engaged in planning, implementation, operation, and maintenance of Inter-State Transmission System (ISTS), telecom and consultancy services. The Company's segments include Transmission Services, Consultancy Services and Telecom Services. Transmission Services is engaged in transmission of bulk power across different states of India consisting of extra high voltage/high voltage (EHV/HV) networks. Consultancy Services provides consultancy services in the transmission, distribution, and telecom sectors, including planning design, engineering, load dispatch, optical ground wire (OPGW) on intra state transmission network, procurement management, operation and maintenance, financing, and project management. It utilizes the spare Optical fibers available in the OPGW laid on the transmission network for providing telecom services to various customers. Its Smart Grid enables real time monitoring and control of power system.</v>
    <v>8316</v>
    <v>National Stock Exchange of India</v>
    <v>XNSE</v>
    <v>XNSE</v>
    <v>Saudamini, Plot No.2, Sector 29, GURGAON, HARYANA, 122001 IN</v>
    <v>318.8</v>
    <v>Electrical Utilities &amp; IPPs</v>
    <v>Stock</v>
    <v>45610.556701388887</v>
    <v>47</v>
    <v>310.60000000000002</v>
    <v>2902719000000</v>
    <v>POWER GRID CORPORATION OF INDIA LIMITED</v>
    <v>POWER GRID CORPORATION OF INDIA LIMITED</v>
    <v>315.10000000000002</v>
    <v>18.473199999999999</v>
    <v>318</v>
    <v>312.10000000000002</v>
    <v>9300604000</v>
    <v>POWERGRID</v>
    <v>POWER GRID CORPORATION OF INDIA LIMITED (XNSE:POWERGRID)</v>
    <v>12500377</v>
    <v>11920650</v>
    <v>1989</v>
  </rv>
  <rv s="2">
    <v>48</v>
  </rv>
  <rv s="0">
    <v>https://www.bing.com/financeapi/forcetrigger?t=ah7pa2&amp;q=XBOM%3a500049&amp;form=skydnc</v>
    <v>Learn more on Bing</v>
  </rv>
  <rv s="1">
    <v>en-IN</v>
    <v>ah7pa2</v>
    <v>268435456</v>
    <v>1</v>
    <v>Powered by Refinitiv</v>
    <v>0</v>
    <v>BHARAT ELECTRONICS LIMITED (XBOM:500049)</v>
    <v>2</v>
    <v>3</v>
    <v>Finance</v>
    <v>7</v>
    <v>340.35</v>
    <v>137.4</v>
    <v>0.68589999999999995</v>
    <v>-0.4</v>
    <v>-1.421E-3</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8937</v>
    <v>Bombay Stock Exchange</v>
    <v>XBOM</v>
    <v>XBOM</v>
    <v>Outer Ring Road, Nagavara, BANGALORE, KARNATAKA, 560045 IN</v>
    <v>284.39999999999998</v>
    <v>Aerospace &amp; Defense</v>
    <v>Stock</v>
    <v>45610.43854166667</v>
    <v>50</v>
    <v>275.55</v>
    <v>2053682000000</v>
    <v>BHARAT ELECTRONICS LIMITED</v>
    <v>BHARAT ELECTRONICS LIMITED</v>
    <v>281.64999999999998</v>
    <v>45.224899999999998</v>
    <v>281.45</v>
    <v>281.05</v>
    <v>7309779000</v>
    <v>500049</v>
    <v>BHARAT ELECTRONICS LIMITED (XBOM:500049)</v>
    <v>857486</v>
    <v>21427420</v>
    <v>1954</v>
  </rv>
  <rv s="2">
    <v>51</v>
  </rv>
  <rv s="4">
    <v>en-IN</v>
    <v>cbp6m7</v>
    <v>268435456</v>
    <v>1</v>
    <v>Powered by Refinitiv</v>
    <v>8</v>
    <v>INDIAN RENEWABLE ENERGY DEVELOPMENT AGENCY LIMITED (XNSE:IREDA)</v>
    <v>9</v>
    <v>3</v>
    <v>Finance</v>
    <v>4</v>
    <v>310</v>
    <v>50</v>
    <v>1.415</v>
    <v>2.27</v>
    <v>1.2100999999999999E-2</v>
    <v>INR</v>
    <v>Indian Renewable Energy Development Agency Limited is an India-based systemically important non-deposit taking non-banking financial (NBFC-ND-SI) company. The Company is engaged in promoting, developing and extending financial assistance for new and renewable energy (RE) projects, and energy efficiency and conservation projects. The Company provides a comprehensive range of financial products and related services, from project conceptualization to post-commissioning, for renewable energy projects. It has financed projects across multiple RE sectors, such as solar power, wind power, hydro power, transmission, and biomass, among others. It provides loans to government entities and financing schemes for RE suppliers, manufacturers, and contractors.</v>
    <v>173</v>
    <v>National Stock Exchange of India</v>
    <v>XNSE</v>
    <v>XNSE</v>
    <v>3rd Floor, August Kranti Bhawan,, Bhikaji Cama Place, NEW DELHI, DELHI, 110066 IN</v>
    <v>195.1</v>
    <v>Banking Services</v>
    <v>Stock</v>
    <v>45610.556701388887</v>
    <v>187.71</v>
    <v>510299000000</v>
    <v>INDIAN RENEWABLE ENERGY DEVELOPMENT AGENCY LIMITED</v>
    <v>INDIAN RENEWABLE ENERGY DEVELOPMENT AGENCY LIMITED</v>
    <v>187.98</v>
    <v>34.487400000000001</v>
    <v>187.59</v>
    <v>189.86</v>
    <v>2687765000</v>
    <v>IREDA</v>
    <v>INDIAN RENEWABLE ENERGY DEVELOPMENT AGENCY LIMITED (XNSE:IREDA)</v>
    <v>4515956</v>
    <v>4456190</v>
    <v>1987</v>
  </rv>
  <rv s="2">
    <v>53</v>
  </rv>
  <rv s="0">
    <v>https://www.bing.com/financeapi/forcetrigger?t=c5mf3m&amp;q=XNSE%3aMSUMI&amp;form=skydnc</v>
    <v>Learn more on Bing</v>
  </rv>
  <rv s="1">
    <v>en-IN</v>
    <v>c5mf3m</v>
    <v>268435456</v>
    <v>1</v>
    <v>Powered by Refinitiv</v>
    <v>0</v>
    <v>MOTHERSON SUMI WIRING INDIA LIMITED (XNSE:MSUMI)</v>
    <v>2</v>
    <v>3</v>
    <v>Finance</v>
    <v>4</v>
    <v>80</v>
    <v>58.7</v>
    <v>0.86499999999999999</v>
    <v>0.65</v>
    <v>1.0783000000000001E-2</v>
    <v>INR</v>
    <v>Motherson Sumi Wiring India Limited is an India-based full-system solutions provider to original equipment manufacturers (OEMs) in the wiring harness segment. The Company is prepared to meet the customer needs at every stage of the supply chain, from initial product design and validation to tool design and manufacturing, finishing, processing, assembly, and finally, production of integrated electrical and electronic distribution systems for the power supply or data transfer across vehicles. It offers a variety of harnesses for different vehicles including passenger and commercial vehicles, two and three-wheelers, farm equipment and off-road vehicles. Its services encompass three-dimensional (3D) computer-aided design, printed circuit board design and routing, 3D printing, prototyping, virtual and physical validation and technology implementation support. The Company operates through its 26 facilities consisting of manufacturing and assembly sites and technical centers across India.</v>
    <v>5018</v>
    <v>National Stock Exchange of India</v>
    <v>XNSE</v>
    <v>XNSE</v>
    <v>Motherson Corporate Tower, Plot no. 1, 5th Floor, Sector 127, Greater Noida Expressway, NOIDA, UTTAR PRADESH, 201301 IN</v>
    <v>61.33</v>
    <v>Automobiles &amp; Auto Parts</v>
    <v>Stock</v>
    <v>45610.556701388887</v>
    <v>55</v>
    <v>60.1</v>
    <v>269378100000</v>
    <v>MOTHERSON SUMI WIRING INDIA LIMITED</v>
    <v>MOTHERSON SUMI WIRING INDIA LIMITED</v>
    <v>60.28</v>
    <v>40.783099999999997</v>
    <v>60.28</v>
    <v>60.93</v>
    <v>4421108000</v>
    <v>MSUMI</v>
    <v>MOTHERSON SUMI WIRING INDIA LIMITED (XNSE:MSUMI)</v>
    <v>5841352</v>
    <v>4005230</v>
    <v>2020</v>
  </rv>
  <rv s="2">
    <v>56</v>
  </rv>
  <rv s="0">
    <v>https://www.bing.com/financeapi/forcetrigger?t=ahkbtc&amp;q=XNSE%3aTEXRAIL&amp;form=skydnc</v>
    <v>Learn more on Bing</v>
  </rv>
  <rv s="1">
    <v>en-IN</v>
    <v>ahkbtc</v>
    <v>268435456</v>
    <v>1</v>
    <v>Powered by Refinitiv</v>
    <v>0</v>
    <v>TEXMACO RAIL &amp; ENGINEERING LIMITED (XNSE:TEXRAIL)</v>
    <v>2</v>
    <v>3</v>
    <v>Finance</v>
    <v>4</v>
    <v>296.49</v>
    <v>129.69999999999999</v>
    <v>1.3875999999999999</v>
    <v>3.79</v>
    <v>1.9391000000000002E-2</v>
    <v>INR</v>
    <v>Texmaco Rail &amp; Engineering Limited is a manufacturer of freight wagons and provider of railway infrastructure in India. The Company is engaged in manufacturing, selling and providing service for rail and rail-related products. It manufactures a diverse range of products. Its segments include Freight Car Division, Infra Rail &amp; Green Energy, and Infra Electrical. It manufactures rolling stock, such as wagons, coaches, emus, loco shells and parts, hydro mechanical equipment, steel castings, rail engineering, procurement, construction, bridges and other steel structures. It has six manufacturing units. It is also a freight car manufacturer. These include custom-built special purpose freight cars for movement of large oversize consignments. Its freight cars serve a host of core industries like cement, steel, defense, fertilizer, oil, thermal power projects, and others. It also specializes in manufacturing commodity specific special purpose wagons primarily for the private sector in India.</v>
    <v>2121</v>
    <v>National Stock Exchange of India</v>
    <v>XNSE</v>
    <v>XNSE</v>
    <v>Birla Building,, 9/1 R.N. Mukherjee Road,, KOLKATA, WEST BENGAL, 700001 IN</v>
    <v>202.89</v>
    <v>Machinery, Equipment &amp; Components</v>
    <v>Stock</v>
    <v>45610.556712962964</v>
    <v>58</v>
    <v>196.55</v>
    <v>79589870000</v>
    <v>TEXMACO RAIL &amp; ENGINEERING LIMITED</v>
    <v>TEXMACO RAIL &amp; ENGINEERING LIMITED</v>
    <v>197.81</v>
    <v>36.729700000000001</v>
    <v>195.45</v>
    <v>199.24</v>
    <v>399467300</v>
    <v>TEXRAIL</v>
    <v>TEXMACO RAIL &amp; ENGINEERING LIMITED (XNSE:TEXRAIL)</v>
    <v>1080511</v>
    <v>2047090</v>
    <v>1998</v>
  </rv>
  <rv s="2">
    <v>59</v>
  </rv>
  <rv s="0">
    <v>https://www.bing.com/financeapi/forcetrigger?t=ahj852&amp;q=XNSE%3aNMDC&amp;form=skydnc</v>
    <v>Learn more on Bing</v>
  </rv>
  <rv s="1">
    <v>en-IN</v>
    <v>ahj852</v>
    <v>268435456</v>
    <v>1</v>
    <v>Powered by Refinitiv</v>
    <v>0</v>
    <v>NMDC LIMITED (XNSE:NMDC)</v>
    <v>2</v>
    <v>3</v>
    <v>Finance</v>
    <v>4</v>
    <v>286.35000000000002</v>
    <v>166.75</v>
    <v>0.82189999999999996</v>
    <v>-4.41</v>
    <v>-1.9757E-2</v>
    <v>INR</v>
    <v>NMDC Limited is an India-based producer of iron ore. The Company owns and operates highly mechanized iron ore mines in the state of Chhattisgarh and Karnataka. It also operates the mechanized diamond mine in India at Panna, Madhya Pradesh. It offers a diverse range of iron ore products, each tailored to meet specific industrial requirements. It produces rough diamonds that cater to the gem and jewelry industry. The Company's segments include Iron Ore, and Pellet, Other Minerals &amp; Services. Its products include Baila ROM, Baila Lump, DR CLO, 10-20 mm Baila, Baila Fine, Doni Lump, Kumaraswamy Lump, Kumaraswamy Lump Ore, Doni Fines, Kumaraswamy Fine, Iron Ore Pellets, and Rough Diamonds. It holds around 26% stake in International Coal Ventures Pvt. Ltd (ICVL). ICVL owns coking coal deposit in Mozambique. The Company, through its subsidiary, Legacy Iron Ore Limited, carries out exploration in its 21 exploration tenements in Western Australia in iron ore, gold, tungsten and base metals.</v>
    <v>5630</v>
    <v>National Stock Exchange of India</v>
    <v>XNSE</v>
    <v>XNSE</v>
    <v>Khanij Bhavan, Masab Tank, HYDERABAD, TELANGANA, 500028 IN</v>
    <v>228.5</v>
    <v>Metals &amp; Mining</v>
    <v>Stock</v>
    <v>45610.556701388887</v>
    <v>61</v>
    <v>218.1</v>
    <v>641216600000</v>
    <v>NMDC LIMITED</v>
    <v>NMDC LIMITED</v>
    <v>223.71</v>
    <v>10.5511</v>
    <v>223.21</v>
    <v>218.8</v>
    <v>2930606000</v>
    <v>NMDC</v>
    <v>NMDC LIMITED (XNSE:NMDC)</v>
    <v>9987841</v>
    <v>16080220</v>
    <v>1958</v>
  </rv>
  <rv s="2">
    <v>62</v>
  </rv>
  <rv s="0">
    <v>https://www.bing.com/financeapi/forcetrigger?t=ahidqh&amp;q=XNSE%3aIRB&amp;form=skydnc</v>
    <v>Learn more on Bing</v>
  </rv>
  <rv s="1">
    <v>en-IN</v>
    <v>ahidqh</v>
    <v>268435456</v>
    <v>1</v>
    <v>Powered by Refinitiv</v>
    <v>0</v>
    <v>IRB INFRASTRUCTURE DEVELOPERS LIMITED (XNSE:IRB)</v>
    <v>2</v>
    <v>3</v>
    <v>Finance</v>
    <v>4</v>
    <v>78.150000000000006</v>
    <v>34.75</v>
    <v>1.5443</v>
    <v>-0.76</v>
    <v>-1.5664000000000001E-2</v>
    <v>INR</v>
    <v>IRB Infrastructure Developers Ltd. is an India-based integrated and multinational transport infrastructure developer in roads and highways sector, with major presence in the build-operate-transfer (BOT) space. The Company's in-house integrated project execution capabilities include engineering, procurement and construction (EPC) and operation and maintenance (O&amp;M) across all its business verticals like BOT, toll-operate-transfer (TOT) and hybrid annuity model (HAM). Its segments include BOT/TOT Projects and Construction. The BOT/TOT Projects segment includes operation and maintenance of roads. The Construction segment includes development and maintenance of roads. Its highways infrastructure projects include BOT Projects, BOT/TOT Projects (Private InvIT), Projects under O &amp; M (Public InvIT), TOT Projects, HAM Projects and Completed Concessions. The Company's airport infrastructure projects include Sindhudurg Airport. It has approximately 15,500 lane kilometers under operation.</v>
    <v>3180</v>
    <v>National Stock Exchange of India</v>
    <v>XNSE</v>
    <v>XNSE</v>
    <v>IRB Complex,, Chandivali Farm,Chandivali Village,, Andheri (East),, MUMBAI, MAHARASHTRA, 400072 IN</v>
    <v>49.49</v>
    <v>Construction &amp; Engineering</v>
    <v>Stock</v>
    <v>45610.556701388887</v>
    <v>64</v>
    <v>47.61</v>
    <v>288422600000</v>
    <v>IRB INFRASTRUCTURE DEVELOPERS LIMITED</v>
    <v>IRB INFRASTRUCTURE DEVELOPERS LIMITED</v>
    <v>48.51</v>
    <v>46.672499999999999</v>
    <v>48.52</v>
    <v>47.76</v>
    <v>6039000000</v>
    <v>IRB</v>
    <v>IRB INFRASTRUCTURE DEVELOPERS LIMITED (XNSE:IRB)</v>
    <v>17659040</v>
    <v>12555640</v>
    <v>1998</v>
  </rv>
  <rv s="2">
    <v>65</v>
  </rv>
  <rv s="0">
    <v>https://www.bing.com/financeapi/forcetrigger?t=ahiih7&amp;q=XNSE%3aJSL&amp;form=skydnc</v>
    <v>Learn more on Bing</v>
  </rv>
  <rv s="1">
    <v>en-IN</v>
    <v>ahiih7</v>
    <v>268435456</v>
    <v>1</v>
    <v>Powered by Refinitiv</v>
    <v>0</v>
    <v>JINDAL STAINLESS LIMITED (XNSE:JSL)</v>
    <v>2</v>
    <v>3</v>
    <v>Finance</v>
    <v>4</v>
    <v>848</v>
    <v>461.3</v>
    <v>1.3472999999999999</v>
    <v>2.4500000000000002</v>
    <v>3.5399999999999997E-3</v>
    <v>INR</v>
    <v>Jindal Stainless Limited is a stainless-steel manufacturer. It is engaged in the manufacturing of stainless-steel flat products in austenitic, ferritic, martensitic and duplex grades. Its products include slabs, blooms, hot rolled (HR) coils, cold rolled (CR) coils, plates and specialty products. Blooms, as semi-finished stainless-steel products, are created using smaller mold sizes. CR produces smooth sheets and strips with precise dimensions and improved surface finishes. Plates are produced by continuously casting slabs, which are then hot rolled after undergoing annealing and pickling. Specialty Product Division serves the precision and specialty stainless steel needs of customers in India and abroad. These include coin blanks, blade steel and precision strips. HR primarily involves deforming the slab/bloom at high temperature and roll pressure. Its subsidiaries include PT. Jindal Stainless Indonesia, Evergreat International Investment Pte Ltd, Jindal Stainless FZE and others.</v>
    <v>5287</v>
    <v>National Stock Exchange of India</v>
    <v>XNSE</v>
    <v>XNSE</v>
    <v>Jindal Centre, 12, Bhikaiji Cama Place, NEW DELHI, DELHI, 110066 IN</v>
    <v>704.1</v>
    <v>Metals &amp; Mining</v>
    <v>Stock</v>
    <v>45610.556701388887</v>
    <v>67</v>
    <v>687</v>
    <v>571916500000</v>
    <v>JINDAL STAINLESS LIMITED</v>
    <v>JINDAL STAINLESS LIMITED</v>
    <v>692.1</v>
    <v>23.322500000000002</v>
    <v>692.1</v>
    <v>694.55</v>
    <v>823434600</v>
    <v>JSL</v>
    <v>JINDAL STAINLESS LIMITED (XNSE:JSL)</v>
    <v>477721</v>
    <v>484080</v>
    <v>1980</v>
  </rv>
  <rv s="2">
    <v>68</v>
  </rv>
  <rv s="0">
    <v>https://www.bing.com/financeapi/forcetrigger?t=ahiiec&amp;q=XNSE%3aJPPOWER&amp;form=skydnc</v>
    <v>Learn more on Bing</v>
  </rv>
  <rv s="1">
    <v>en-IN</v>
    <v>ahiiec</v>
    <v>268435456</v>
    <v>1</v>
    <v>Powered by Refinitiv</v>
    <v>0</v>
    <v>JAIPRAKASH POWER VENTURES LIMITED (XNSE:JPPOWER)</v>
    <v>2</v>
    <v>3</v>
    <v>Finance</v>
    <v>4</v>
    <v>24</v>
    <v>12.25</v>
    <v>1.7847999999999999</v>
    <v>0.12</v>
    <v>7.2419999999999993E-3</v>
    <v>INR</v>
    <v>Jaiprakash Power Ventures Limited is an India-based company, which is engaged in the business of generation of thermal and hydro power, cement grinding and captive coal mining. The Company owns and operates approximately 400 megawatts (MW) JaypeeVishnuprayag Hydro Electric Plant at District Chamoli, Uttarakhand; 1320 MW JaypeeNigrie Super Thermal Power Plant at Nigrie, District Singrauli, Madhya Pradesh, and 500 MW JaypeeBina Thermal Power Plant at Village Sirchopi, District Sagar, Madhya Pradesh. It is operating a cement grinding unit (two million tons per annum) at Nigrie, District Singrauli, Madhya Pradesh, and is also engaged in captive coal mining operations at Amelia Coal Block allotted by Government of India for supply of coal to JaypeeNigrie Super Thermal Power Plant. The Company's include Sangam Power Generation Company Limited, Jaypee Arunachal Power Limited, Jaypee Meghalaya Power Limited and Bina Mines and Supply Limited.</v>
    <v>1750</v>
    <v>National Stock Exchange of India</v>
    <v>XNSE</v>
    <v>XNSE</v>
    <v>JA House, 63, Basant Lok,, Vasant Vihar, NEW DELHI, DELHI, 110057 IN</v>
    <v>17.12</v>
    <v>Electrical Utilities &amp; IPPs</v>
    <v>Stock</v>
    <v>45610.556701388887</v>
    <v>70</v>
    <v>16.52</v>
    <v>114384200000</v>
    <v>JAIPRAKASH POWER VENTURES LIMITED</v>
    <v>JAIPRAKASH POWER VENTURES LIMITED</v>
    <v>16.64</v>
    <v>9.3879999999999999</v>
    <v>16.57</v>
    <v>16.690000000000001</v>
    <v>6853459000</v>
    <v>JPPOWER</v>
    <v>JAIPRAKASH POWER VENTURES LIMITED (XNSE:JPPOWER)</v>
    <v>42827273</v>
    <v>45916990</v>
    <v>1994</v>
  </rv>
  <rv s="2">
    <v>71</v>
  </rv>
  <rv s="0">
    <v>https://www.bing.com/financeapi/forcetrigger?t=c4o2f2&amp;q=XNSE%3aJTLINFRA&amp;form=skydnc</v>
    <v>Learn more on Bing</v>
  </rv>
  <rv s="1">
    <v>en-IN</v>
    <v>c4o2f2</v>
    <v>268435456</v>
    <v>1</v>
    <v>Powered by Refinitiv</v>
    <v>0</v>
    <v>JTL INDUSTRIES LIMITED (XNSE:JTLIND)</v>
    <v>2</v>
    <v>3</v>
    <v>Finance</v>
    <v>4</v>
    <v>139</v>
    <v>83.45</v>
    <v>1.2150000000000001</v>
    <v>6.25</v>
    <v>6.8009E-2</v>
    <v>INR</v>
    <v>JTL Industries Limited is an India-based producer of electric resistance welded (ERW) steel pipes including manufacturing of section pipe and tube. The Company is engaged in the manufacturing and sale of iron and steel products. Its products and services include JTL MS Structura JTL Jumbo, JTL Ultra, JTL Jal Jaan, JTL Galva Flow, JTL Surya Kiran, JTL Agnirodhi, JTL Road Guard and JTL Uniq. Its offering includes value-added products, such as hot dipped galvanized steel tubes and pipes, solar module mounting structures, and large diameter steel tubes and pipes. These products are used across agriculture, water distribution, energy and engineering, heavy vehicles, construction and building material and other infrastructure applications. It has four manufacturing facilities: Derabassi and Mandi gobindgarh, Punjab; Raipur, Chattishgarh, and Mangaon, Maharashtra. The Company also owns Nabha Steels and Metals plant, which is located at Mandi Gobindgarh in Punjab.</v>
    <v>634</v>
    <v>National Stock Exchange of India</v>
    <v>XNSE</v>
    <v>XNSE</v>
    <v>SCO-18-19, Sector-28C, CHANDIGARH, CHANDIGARH, 160002 IN</v>
    <v>101</v>
    <v>Metals &amp; Mining</v>
    <v>Stock</v>
    <v>45610.556701388887</v>
    <v>73</v>
    <v>92.5</v>
    <v>19300760000</v>
    <v>JTL INDUSTRIES LIMITED</v>
    <v>JTL INDUSTRIES LIMITED</v>
    <v>92.5</v>
    <v>29.7514</v>
    <v>91.9</v>
    <v>98.15</v>
    <v>196540800</v>
    <v>JTLIND</v>
    <v>JTL INDUSTRIES LIMITED (XNSE:JTLIND)</v>
    <v>876155</v>
    <v>1054880</v>
    <v>1991</v>
  </rv>
  <rv s="2">
    <v>74</v>
  </rv>
  <rv s="0">
    <v>https://www.bing.com/financeapi/forcetrigger?t=ahg7hw&amp;q=XBOM%3a540190&amp;form=skydnc</v>
    <v>Learn more on Bing</v>
  </rv>
  <rv s="5">
    <v>en-IN</v>
    <v>ahg7hw</v>
    <v>268435456</v>
    <v>1</v>
    <v>Powered by Refinitiv</v>
    <v>10</v>
    <v>FRANKLIN INDUSTRIES LIMITED (XBOM:540190)</v>
    <v>2</v>
    <v>11</v>
    <v>Finance</v>
    <v>7</v>
    <v>4.13</v>
    <v>1.07</v>
    <v>-0.36220000000000002</v>
    <v>-0.09</v>
    <v>-4.4118000000000004E-2</v>
    <v>INR</v>
    <v>Franklin Industries Limited is an India-based company. The Company is engaged in the business of trading of agriculture products and other related materials thereof and trading of gold and silver ornaments. The Company operates through Wholesale trading of Agriculture Commodities segment.</v>
    <v>Bombay Stock Exchange</v>
    <v>XBOM</v>
    <v>XBOM</v>
    <v>301,Signature -01, Nr.Jaguar Showroom, S.G. Highway, Makarba, AHMEDABAD, GUJARAT, 380051 IN</v>
    <v>2.08</v>
    <v>Textiles &amp; Apparel</v>
    <v>Stock</v>
    <v>45610.438692129632</v>
    <v>76</v>
    <v>1.94</v>
    <v>563940000</v>
    <v>FRANKLIN INDUSTRIES LIMITED</v>
    <v>FRANKLIN INDUSTRIES LIMITED</v>
    <v>2.08</v>
    <v>2.0383</v>
    <v>2.04</v>
    <v>1.95</v>
    <v>289200000</v>
    <v>540190</v>
    <v>FRANKLIN INDUSTRIES LIMITED (XBOM:540190)</v>
    <v>4461791</v>
    <v>4555960</v>
    <v>1983</v>
  </rv>
  <rv s="2">
    <v>77</v>
  </rv>
  <rv s="0">
    <v>https://www.bing.com/financeapi/forcetrigger?t=ahhz77&amp;q=XNSE%3aGREENPOWER&amp;form=skydnc</v>
    <v>Learn more on Bing</v>
  </rv>
  <rv s="1">
    <v>en-IN</v>
    <v>ahhz77</v>
    <v>268435456</v>
    <v>1</v>
    <v>Powered by Refinitiv</v>
    <v>0</v>
    <v>ORIENT GREEN POWER COMPANY LIMITED (XNSE:GREENPOWER)</v>
    <v>2</v>
    <v>3</v>
    <v>Finance</v>
    <v>4</v>
    <v>31.88</v>
    <v>16.57</v>
    <v>0.78859999999999997</v>
    <v>0.28000000000000003</v>
    <v>1.5900000000000001E-2</v>
    <v>INR</v>
    <v>Orient Green Power Company Limited is an India-based company. The Company is engaged in the business of generation of power from renewable energy sources, which is wind energy. The Company has a portfolio of 402.3 megawatt (MW) of wind assets spread across the states of Tamil Nadu, Andra Pradesh, Gujarat and Karnataka. Its portfolio also includes a 10.5 MW wind farm in Croatia, Europe. The Company’s subsidiaries include Beta Wind Farm Private Limited, Gamma Green Power Private Limited, Bharath Wind Farm Limited, Orient Green Power Europe BV, Amrit Environmental Technologies Private Limited, Orient Green Power (Maharashtra) Private Limited, Clarion Wind Farm Private Limited, Vjetro Elektrana Crno Brdod.o.o, Croatia, and Orient Green Power Doo.</v>
    <v>4</v>
    <v>National Stock Exchange of India</v>
    <v>XNSE</v>
    <v>XNSE</v>
    <v>Bascon Futura SV, 4th Floor,, No.10/1, Venkatanarayana Road,T. Nagar,, CHENNAI, TAMIL NADU, 600017 IN</v>
    <v>18.25</v>
    <v>Electrical Utilities &amp; IPPs</v>
    <v>Stock</v>
    <v>45610.556701388887</v>
    <v>79</v>
    <v>17.57</v>
    <v>20985540000</v>
    <v>ORIENT GREEN POWER COMPANY LIMITED</v>
    <v>ORIENT GREEN POWER COMPANY LIMITED</v>
    <v>17.579999999999998</v>
    <v>98.785200000000003</v>
    <v>17.61</v>
    <v>17.89</v>
    <v>1173032000</v>
    <v>GREENPOWER</v>
    <v>ORIENT GREEN POWER COMPANY LIMITED (XNSE:GREENPOWER)</v>
    <v>5540295</v>
    <v>5408080</v>
    <v>2006</v>
  </rv>
  <rv s="2">
    <v>80</v>
  </rv>
  <rv s="0">
    <v>https://www.bing.com/financeapi/forcetrigger?t=ahjcxm&amp;q=XNSE%3aPATELENG&amp;form=skydnc</v>
    <v>Learn more on Bing</v>
  </rv>
  <rv s="1">
    <v>en-IN</v>
    <v>ahjcxm</v>
    <v>268435456</v>
    <v>1</v>
    <v>Powered by Refinitiv</v>
    <v>0</v>
    <v>PATEL ENGINEERING LIMITED (XNSE:PATELENG)</v>
    <v>2</v>
    <v>3</v>
    <v>Finance</v>
    <v>4</v>
    <v>79</v>
    <v>46.25</v>
    <v>1.8655999999999999</v>
    <v>1.1100000000000001</v>
    <v>2.2195999999999997E-2</v>
    <v>INR</v>
    <v>Patel Engineering Limited is an India-based infrastructure and construction services company, which is engaged in civil engineering and construction of hydro projects, dams, tunnels, roads, railways. It is also involved in real estate activities with owned or leased property. Its power, dams and tunnel projects include Kiru HEP Project, Jammu and Kashmir (J&amp;K), IRCON T15 in J&amp;K, KRCL Tunnel T-2 in J&amp;K, Arun-3 HEP Project, Nepal, Kundah Package I &amp; II, Tamil Nadu and Parnai H.E. Project, J&amp;K. Its irrigation projects include Sleemanabad Carrier Canal, Madhya Pradesh, Jigaon Lift Irrigation, Maharashtra, Suthaliya Irrigation Project, Madhya Pradesh and Parbati Irrigation Project, Madhya Pradesh. Its urban infrastructure and roads include Shivane to Mhatre bridge, Amarmahal to Trombay Tunnel, Hindoli - Nainwa Water Supply Project, RVNL Project, PGRW Tunnel. Its subsidiaries include Zeus Minerals Trading Pvt. Ltd., Friends Nirman Pvt. Ltd., and Patel Lands Ltd.</v>
    <v>7934</v>
    <v>National Stock Exchange of India</v>
    <v>XNSE</v>
    <v>XNSE</v>
    <v>Patel Estate Road, Jogeshwari West, MUMBAI, MAHARASHTRA, 400104 IN</v>
    <v>52.75</v>
    <v>Construction &amp; Engineering</v>
    <v>Stock</v>
    <v>45610.556701388887</v>
    <v>82</v>
    <v>50.95</v>
    <v>41268250000</v>
    <v>PATEL ENGINEERING LIMITED</v>
    <v>PATEL ENGINEERING LIMITED</v>
    <v>51.7</v>
    <v>14.1364</v>
    <v>50.01</v>
    <v>51.12</v>
    <v>807281900</v>
    <v>PATELENG</v>
    <v>PATEL ENGINEERING LIMITED (XNSE:PATELENG)</v>
    <v>8637033</v>
    <v>5176760</v>
    <v>1949</v>
  </rv>
  <rv s="2">
    <v>83</v>
  </rv>
  <rv s="0">
    <v>https://www.bing.com/financeapi/forcetrigger?t=ahj6nm&amp;q=XNSE%3aNHPC&amp;form=skydnc</v>
    <v>Learn more on Bing</v>
  </rv>
  <rv s="1">
    <v>en-IN</v>
    <v>ahj6nm</v>
    <v>268435456</v>
    <v>1</v>
    <v>Powered by Refinitiv</v>
    <v>0</v>
    <v>NHPC Limited (XNSE:NHPC)</v>
    <v>2</v>
    <v>3</v>
    <v>Finance</v>
    <v>4</v>
    <v>118.4</v>
    <v>51.6</v>
    <v>0.55869999999999997</v>
    <v>0.44</v>
    <v>5.6449999999999998E-3</v>
    <v>INR</v>
    <v>NHPC Limited is an India-based company, which is primarily engaged in the generation and sale of bulk power to various power utilities. The Company’s other business activities include project management / construction contracts/ consultancy assignment services and trading of power. It has installed capacity of 7144.20 megawatts (MW) including 1593 MW in joint venture, comprising 6971.20 MW from 22 hydro power stations, 123 MW from three solar power project and 50 MW from a wind power project. The Company’s power stations include Salal, Dulhasti, Kishanganga HEP, Chutak, Baira Siul, Tanakpur, Dhauliganga, Rangit, Loktak, Indira Saga, Chamera-I, Uri-I, Omkareshwa, and others. Its consultancy services offer survey and investigation, planning, design and engineering, construction, operation and maintenance, renovation, modernization and updating of hydropower projects. Its subsidiaries include NHDC Limited, Bundelkhand Saur Urja Limited, Lanco Teesta Hydro Power Limited, and others.</v>
    <v>4929</v>
    <v>National Stock Exchange of India</v>
    <v>XNSE</v>
    <v>XNSE</v>
    <v>Sector-33, FARIDABAD, HARYANA, 121003 IN</v>
    <v>78.739999999999995</v>
    <v>Electrical Utilities &amp; IPPs</v>
    <v>Stock</v>
    <v>45610.556701388887</v>
    <v>85</v>
    <v>77.260000000000005</v>
    <v>787329800000</v>
    <v>NHPC Limited</v>
    <v>NHPC Limited</v>
    <v>77.95</v>
    <v>26.499400000000001</v>
    <v>77.94</v>
    <v>78.38</v>
    <v>10045040000</v>
    <v>NHPC</v>
    <v>NHPC Limited (XNSE:NHPC)</v>
    <v>16163462</v>
    <v>21105910</v>
    <v>1975</v>
  </rv>
  <rv s="2">
    <v>86</v>
  </rv>
  <rv s="0">
    <v>https://www.bing.com/financeapi/forcetrigger?t=brazfr&amp;q=XBOM%3a542753&amp;form=skydnc</v>
    <v>Learn more on Bing</v>
  </rv>
  <rv s="5">
    <v>en-IN</v>
    <v>brazfr</v>
    <v>268435456</v>
    <v>1</v>
    <v>Powered by Refinitiv</v>
    <v>10</v>
    <v>SEACOAST SHIPPING SERVICES LIMITED (XBOM:542753)</v>
    <v>2</v>
    <v>11</v>
    <v>Finance</v>
    <v>7</v>
    <v>7.49</v>
    <v>2.5299999999999998</v>
    <v>1.3731</v>
    <v>0.06</v>
    <v>1.5266999999999999E-2</v>
    <v>INR</v>
    <v>Seacoast Shipping Services Limited is an India-based company. The Company is engaged in providing single window logistics services to exporters and importers. It focuses on dry bulk logistics and container freight forwarding along with inland road logistics. The Company offers solutions for the oceanic transport of dry bulk cargoes around the world. The Company operates through trading in the ship hiring and operating segment. Its services include ship chartering, coastal trade, freight forwarding, warehousing and transportation of fast-moving consumer goods (FMCG) products, and mining and transportation services. It also offers other services, such as clearing and forwarding of export containers; full container loads (FCL) and break-bulk, and freight broking and making contracts with various shipping companies.</v>
    <v>Bombay Stock Exchange</v>
    <v>XBOM</v>
    <v>XBOM</v>
    <v>Address: D 1202, Swati Crimson and Clover, Shilaj Circle, S.P.Ring Road, AHMEDABAD, GUJARAT, 380054 IN</v>
    <v>4.09</v>
    <v>Freight &amp; Logistics Services</v>
    <v>Stock</v>
    <v>45610.438692129632</v>
    <v>88</v>
    <v>3.86</v>
    <v>2149333000</v>
    <v>SEACOAST SHIPPING SERVICES LIMITED</v>
    <v>SEACOAST SHIPPING SERVICES LIMITED</v>
    <v>3.9</v>
    <v>9.2382000000000009</v>
    <v>3.93</v>
    <v>3.99</v>
    <v>538680000</v>
    <v>542753</v>
    <v>SEACOAST SHIPPING SERVICES LIMITED (XBOM:542753)</v>
    <v>2102188</v>
    <v>2088200</v>
    <v>1982</v>
  </rv>
  <rv s="2">
    <v>89</v>
  </rv>
  <rv s="0">
    <v>https://www.bing.com/financeapi/forcetrigger?t=bne7a2&amp;q=XNSE%3aICICIB22&amp;form=skydnc</v>
    <v>Learn more on Bing</v>
  </rv>
  <rv s="6">
    <v>en-IN</v>
    <v>bne7a2</v>
    <v>268435456</v>
    <v>1</v>
    <v>Powered by Refinitiv</v>
    <v>12</v>
    <v>Bharat 22 ETF (XNSE:ICICIB22)</v>
    <v>13</v>
    <v>14</v>
    <v>Finance</v>
    <v>4</v>
    <v>124</v>
    <v>77</v>
    <v>0.97629999999999995</v>
    <v>-0.89</v>
    <v>-8.1209999999999997E-3</v>
    <v>INR</v>
    <v>National Stock Exchange of India</v>
    <v>XNSE</v>
    <v>5.0000000000000001E-4</v>
    <v>110.8</v>
    <v>ETF</v>
    <v>45610.498912037037</v>
    <v>91</v>
    <v>108.45</v>
    <v>191598280604.22</v>
    <v>Bharat 22 ETF</v>
    <v>110</v>
    <v>109.59</v>
    <v>108.7</v>
    <v>ICICIB22</v>
    <v>Bharat 22 ETF (XNSE:ICICIB22)</v>
    <v>510809</v>
  </rv>
  <rv s="2">
    <v>92</v>
  </rv>
  <rv s="7">
    <v>en-IN</v>
    <v>ccqrr7</v>
    <v>268435456</v>
    <v>1</v>
    <v>Powered by Refinitiv</v>
    <v>15</v>
    <v>Motilal Oswal Nifty SC 250 ETF (XNSE:MOSMALL250)</v>
    <v>16</v>
    <v>17</v>
    <v>Finance</v>
    <v>4</v>
    <v>19.3</v>
    <v>13</v>
    <v>0.22</v>
    <v>1.3221E-2</v>
    <v>INR</v>
    <v>National Stock Exchange of India</v>
    <v>XNSE</v>
    <v>3.2000000000000002E-3</v>
    <v>16.989999999999998</v>
    <v>ETF</v>
    <v>45610.492789351854</v>
    <v>16.61</v>
    <v>824045000</v>
    <v>Motilal Oswal Nifty SC 250 ETF</v>
    <v>16.84</v>
    <v>16.64</v>
    <v>16.86</v>
    <v>MOSMALL250</v>
    <v>Motilal Oswal Nifty SC 250 ETF (XNSE:MOSMALL250)</v>
    <v>520505</v>
  </rv>
  <rv s="2">
    <v>94</v>
  </rv>
  <rv s="0">
    <v>https://www.bing.com/financeapi/forcetrigger?t=ahisu2&amp;q=XNSE%3aMOM100&amp;form=skydnc</v>
    <v>Learn more on Bing</v>
  </rv>
  <rv s="6">
    <v>en-IN</v>
    <v>ahisu2</v>
    <v>268435456</v>
    <v>1</v>
    <v>Powered by Refinitiv</v>
    <v>12</v>
    <v>MotilalOswal NiftyMidcap100ETF (XNSE:MOM100)</v>
    <v>13</v>
    <v>14</v>
    <v>Finance</v>
    <v>4</v>
    <v>66.45</v>
    <v>42.84</v>
    <v>0.86980000000000002</v>
    <v>0.28999999999999998</v>
    <v>5.0299999999999997E-3</v>
    <v>INR</v>
    <v>National Stock Exchange of India</v>
    <v>XNSE</v>
    <v>2.2000000000000001E-3</v>
    <v>58.5</v>
    <v>ETF</v>
    <v>45610.498935185184</v>
    <v>96</v>
    <v>57.61</v>
    <v>5336961000</v>
    <v>MotilalOswal NiftyMidcap100ETF</v>
    <v>57.99</v>
    <v>57.65</v>
    <v>57.94</v>
    <v>MOM100</v>
    <v>MotilalOswal NiftyMidcap100ETF (XNSE:MOM100)</v>
    <v>308512</v>
  </rv>
  <rv s="2">
    <v>97</v>
  </rv>
  <rv s="0">
    <v>https://www.bing.com/financeapi/forcetrigger?t=c2p28m&amp;q=XNSE%3aPHARMABEES&amp;form=skydnc</v>
    <v>Learn more on Bing</v>
  </rv>
  <rv s="6">
    <v>en-IN</v>
    <v>c2p28m</v>
    <v>268435456</v>
    <v>1</v>
    <v>Powered by Refinitiv</v>
    <v>12</v>
    <v>Nippon India Nifty Pharma ETF (XNSE:PHARMABEES)</v>
    <v>13</v>
    <v>14</v>
    <v>Finance</v>
    <v>4</v>
    <v>24.53</v>
    <v>15.4</v>
    <v>0.97330000000000005</v>
    <v>-0.05</v>
    <v>-2.2439999999999999E-3</v>
    <v>INR</v>
    <v>National Stock Exchange of India</v>
    <v>XNSE</v>
    <v>2.0999999999999999E-3</v>
    <v>22.53</v>
    <v>ETF</v>
    <v>45610.498912037037</v>
    <v>99</v>
    <v>22.12</v>
    <v>8522807000</v>
    <v>Nippon India Nifty Pharma ETF</v>
    <v>22.52</v>
    <v>22.28</v>
    <v>22.23</v>
    <v>PHARMABEES</v>
    <v>Nippon India Nifty Pharma ETF (XNSE:PHARMABEES)</v>
    <v>4180515</v>
  </rv>
  <rv s="2">
    <v>100</v>
  </rv>
  <rv s="0">
    <v>https://www.bing.com/financeapi/forcetrigger?t=ahem5r&amp;q=XBOM%3a533278&amp;form=skydnc</v>
    <v>Learn more on Bing</v>
  </rv>
  <rv s="1">
    <v>en-IN</v>
    <v>ahem5r</v>
    <v>268435456</v>
    <v>1</v>
    <v>Powered by Refinitiv</v>
    <v>0</v>
    <v>COAL INDIA LTD (XBOM:533278)</v>
    <v>2</v>
    <v>3</v>
    <v>Finance</v>
    <v>7</v>
    <v>544.70000000000005</v>
    <v>328.9</v>
    <v>0.82440000000000002</v>
    <v>2.5499999999999998</v>
    <v>6.2620000000000002E-3</v>
    <v>INR</v>
    <v>Coal India Ltd. is an India-based coal mining company. The Company along with its subsidiaries is primarily involved in the mining and production of Coal. The Company has approximately 313 mines, consisting of 131 underground, 168 opencast, and 14 mixed mines. Its products and services Include Coking Coal, Semi Coking Coal, Non-Coking Coal, Washed and Beneficiated Coal, Middlings, CIL Coke / LTC Coke, Coal Fines / Coke Fines, and others. It has over 21 training Institutes and 76 Vocational Training Centers. The Company operates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228861</v>
    <v>Bombay Stock Exchange</v>
    <v>XBOM</v>
    <v>XBOM</v>
    <v>Coal Bhawan, Premise No-04 MAR,, Plot No-AF-III,Action Area-1A,, Newtown,Rajarhat, KOLKATA, WEST BENGAL, 700156 IN</v>
    <v>413.3</v>
    <v>Coal</v>
    <v>Stock</v>
    <v>45610.438530092593</v>
    <v>102</v>
    <v>402.7</v>
    <v>2525178000000</v>
    <v>COAL INDIA LTD</v>
    <v>COAL INDIA LTD</v>
    <v>407</v>
    <v>6.1669999999999998</v>
    <v>407.2</v>
    <v>409.75</v>
    <v>6162729000</v>
    <v>533278</v>
    <v>COAL INDIA LTD (XBOM:533278)</v>
    <v>417699</v>
    <v>8364250</v>
    <v>1973</v>
  </rv>
  <rv s="2">
    <v>103</v>
  </rv>
  <rv s="0">
    <v>https://www.bing.com/financeapi/forcetrigger?t=ah7rpr&amp;q=XBOM%3a500112&amp;form=skydnc</v>
    <v>Learn more on Bing</v>
  </rv>
  <rv s="3">
    <v>en-IN</v>
    <v>ah7rpr</v>
    <v>268435456</v>
    <v>1</v>
    <v>Powered by Refinitiv</v>
    <v>5</v>
    <v>State Bank of India (XBOM:500112)</v>
    <v>2</v>
    <v>6</v>
    <v>Finance</v>
    <v>7</v>
    <v>912.1</v>
    <v>555.25</v>
    <v>1.2818000000000001</v>
    <v>-4.3</v>
    <v>-5.3190000000000008E-3</v>
    <v>INR</v>
    <v>State Bank of India is an India-based banking and financial services provider. The Company is engaged in providing a wide range of products and services to individuals, commercial enterprises, corporates, public bodies and institutional customers.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These include providing loans and transaction services to corporate and institutional clients and further include non-treasury operations of foreign offices/entities. The Retail Banking Segment is engaged in personal banking activities including lending activities to corporate customers having banking relations with its branches.</v>
    <v>232296</v>
    <v>Bombay Stock Exchange</v>
    <v>XBOM</v>
    <v>XBOM</v>
    <v>Corporate Centre,14th Floor, State Bank Bhavan, Madame Cama Marg, MUMBAI, MAHARASHTRA, 400021 IN</v>
    <v>817.85</v>
    <v>Banking Services</v>
    <v>Stock</v>
    <v>45610.438530092593</v>
    <v>105</v>
    <v>801.1</v>
    <v>7177626000000</v>
    <v>State Bank of India</v>
    <v>State Bank of India</v>
    <v>809.95</v>
    <v>10.0284</v>
    <v>808.35</v>
    <v>804.05</v>
    <v>8924620000</v>
    <v>500112</v>
    <v>State Bank of India (XBOM:500112)</v>
    <v>720597</v>
    <v>14600550</v>
  </rv>
  <rv s="2">
    <v>106</v>
  </rv>
  <rv s="8">
    <v>0</v>
  </rv>
  <rv s="9">
    <v>{663AAD04-34BA-4839-8120-1DC3A9A5FCFD}</v>
    <v>0</v>
    <v>18</v>
    <v>108</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array">
    <k n="array" t="a"/>
  </s>
  <s t="_datasourcecontainer">
    <k n="%XLUID" t="s"/>
    <k n="_CRID" t="i"/>
    <k n="_Display" t="spb"/>
    <k n="Stock" t="r"/>
  </s>
</rvStructures>
</file>

<file path=xl/richData/rdsupportingpropertybag.xml><?xml version="1.0" encoding="utf-8"?>
<supportingPropertyBags xmlns="http://schemas.microsoft.com/office/spreadsheetml/2017/richdata2">
  <spbArrays count="7">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4">
      <v t="s">Stock</v>
      <v t="s">_CRID</v>
      <v t="s">%XLUID</v>
      <v t="s">_Display</v>
    </a>
  </spbArrays>
  <spbData count="19">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2</v>
      <v>1</v>
      <v>3</v>
      <v>1</v>
      <v>1</v>
      <v>1</v>
      <v>4</v>
      <v>4</v>
      <v>5</v>
      <v>6</v>
      <v>1</v>
      <v>1</v>
      <v>1</v>
      <v>4</v>
      <v>7</v>
      <v>9</v>
      <v>4</v>
    </spb>
    <spb s="4">
      <v>Delayed 15 minutes</v>
      <v>from previous close</v>
      <v>from previous close</v>
      <v>GMT</v>
    </spb>
    <spb s="6">
      <v>2</v>
      <v>Name</v>
    </spb>
    <spb s="7">
      <v>1</v>
      <v>1</v>
      <v>1</v>
    </spb>
    <spb s="0">
      <v>3</v>
      <v>Name</v>
      <v>LearnMoreOnLink</v>
    </spb>
    <spb s="8">
      <v>1</v>
      <v>2</v>
      <v>2</v>
      <v>1</v>
      <v>3</v>
      <v>1</v>
      <v>1</v>
      <v>1</v>
      <v>4</v>
      <v>5</v>
      <v>6</v>
      <v>1</v>
      <v>1</v>
      <v>1</v>
      <v>4</v>
      <v>7</v>
      <v>8</v>
      <v>9</v>
      <v>4</v>
    </spb>
    <spb s="0">
      <v>4</v>
      <v>Name</v>
      <v>LearnMoreOnLink</v>
    </spb>
    <spb s="9">
      <v>1</v>
      <v>1</v>
      <v>1</v>
    </spb>
    <spb s="10">
      <v>1</v>
      <v>2</v>
      <v>1</v>
      <v>3</v>
      <v>1</v>
      <v>1</v>
      <v>1</v>
      <v>4</v>
      <v>5</v>
      <v>6</v>
      <v>1</v>
      <v>1</v>
      <v>5</v>
      <v>1</v>
      <v>7</v>
      <v>9</v>
    </spb>
    <spb s="6">
      <v>5</v>
      <v>Name</v>
    </spb>
    <spb s="11">
      <v>1</v>
      <v>1</v>
    </spb>
    <spb s="12">
      <v>1</v>
      <v>1</v>
      <v>3</v>
      <v>1</v>
      <v>1</v>
      <v>1</v>
      <v>4</v>
      <v>5</v>
      <v>6</v>
      <v>1</v>
      <v>1</v>
      <v>5</v>
      <v>1</v>
      <v>7</v>
      <v>9</v>
    </spb>
    <spb s="13">
      <v>6</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Order" t="spba"/>
    <k n="TitleProperty" t="s"/>
  </s>
  <s>
    <k n="ExchangeID" t="spb"/>
    <k n="UniqueName" t="spb"/>
    <k n="`%ProviderInfo"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UniqueName" t="spb"/>
    <k n="`%ProviderInfo" t="spb"/>
  </s>
  <s>
    <k n="Low" t="i"/>
    <k n="High" t="i"/>
    <k n="Name" t="i"/>
    <k n="Open" t="i"/>
    <k n="Price" t="i"/>
    <k n="Change" t="i"/>
    <k n="Volume" t="i"/>
    <k n="Change (%)" t="i"/>
    <k n="Market cap" t="i"/>
    <k n="52 week low" t="i"/>
    <k n="52 week high" t="i"/>
    <k n="Expense ratio" t="i"/>
    <k n="Previous close" t="i"/>
    <k n="Last trade time" t="i"/>
    <k n="`%EntityServiceId" t="i"/>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3F779-FC0A-4105-A578-0A5DF95289EB}">
  <dimension ref="A1:M36"/>
  <sheetViews>
    <sheetView topLeftCell="E1" zoomScale="95" workbookViewId="0">
      <selection activeCell="G2" sqref="G2:G8"/>
    </sheetView>
  </sheetViews>
  <sheetFormatPr defaultRowHeight="14.5" x14ac:dyDescent="0.35"/>
  <cols>
    <col min="1" max="1" width="65.54296875" bestFit="1" customWidth="1"/>
    <col min="2" max="2" width="12.6328125" bestFit="1" customWidth="1"/>
    <col min="3" max="3" width="27.1796875" bestFit="1" customWidth="1"/>
    <col min="4" max="4" width="27.1796875" customWidth="1"/>
    <col min="5" max="5" width="31.453125" bestFit="1" customWidth="1"/>
    <col min="6" max="6" width="20.81640625" bestFit="1" customWidth="1"/>
    <col min="7" max="7" width="10.36328125" bestFit="1" customWidth="1"/>
    <col min="9" max="11" width="10.36328125" bestFit="1" customWidth="1"/>
    <col min="12" max="12" width="12.7265625" bestFit="1" customWidth="1"/>
    <col min="13" max="13" width="10.7265625" bestFit="1" customWidth="1"/>
  </cols>
  <sheetData>
    <row r="1" spans="1:13" x14ac:dyDescent="0.35">
      <c r="A1" t="s">
        <v>0</v>
      </c>
      <c r="B1" t="s">
        <v>4</v>
      </c>
      <c r="C1" t="s">
        <v>3</v>
      </c>
      <c r="E1" t="s">
        <v>2</v>
      </c>
      <c r="F1" t="s">
        <v>1</v>
      </c>
      <c r="G1" t="s">
        <v>11</v>
      </c>
      <c r="H1" t="s">
        <v>5</v>
      </c>
      <c r="I1" t="s">
        <v>6</v>
      </c>
      <c r="J1" t="s">
        <v>7</v>
      </c>
      <c r="K1" t="s">
        <v>10</v>
      </c>
      <c r="L1" t="s">
        <v>8</v>
      </c>
      <c r="M1" t="s">
        <v>9</v>
      </c>
    </row>
    <row r="2" spans="1:13" x14ac:dyDescent="0.35">
      <c r="A2" t="e" vm="1">
        <v>#VALUE!</v>
      </c>
      <c r="B2" t="str" cm="1">
        <f t="array" aca="1" ref="B2" ca="1">_FV(A2,"Ticker symbol",TRUE)</f>
        <v>CIPLA</v>
      </c>
      <c r="C2" t="str" cm="1">
        <f t="array" aca="1" ref="C2" ca="1">_FV(A2,"Exchange")</f>
        <v>National Stock Exchange of India</v>
      </c>
      <c r="D2" t="str" cm="1">
        <f t="array" aca="1" ref="D2" ca="1">_FV(A2,"Instrument type",TRUE)</f>
        <v>Stock</v>
      </c>
      <c r="E2" t="str" cm="1">
        <f t="array" aca="1" ref="E2" ca="1">_FV(A2,"Industry")</f>
        <v>Pharmaceuticals</v>
      </c>
      <c r="F2" s="2" cm="1">
        <f t="array" aca="1" ref="F2" ca="1">_FV(A2,"Market cap",TRUE)</f>
        <v>1211191000000</v>
      </c>
      <c r="G2" s="1" cm="1">
        <f t="array" aca="1" ref="G2" ca="1">_FV(A2,"Price")</f>
        <v>1499.75</v>
      </c>
      <c r="H2" s="3" cm="1">
        <f t="array" aca="1" ref="H2" ca="1">_FV(A2,"P/E",TRUE)</f>
        <v>27.059699999999999</v>
      </c>
      <c r="I2" s="1" cm="1">
        <f t="array" aca="1" ref="I2" ca="1">_FV(A2,"High")</f>
        <v>1517</v>
      </c>
      <c r="J2" s="1" cm="1">
        <f t="array" aca="1" ref="J2" ca="1">_FV(A2,"Low")</f>
        <v>1490.25</v>
      </c>
      <c r="K2" s="1" cm="1">
        <f t="array" aca="1" ref="K2" ca="1">_FV(A2,"Open")</f>
        <v>1497</v>
      </c>
      <c r="L2" s="1" cm="1">
        <f t="array" aca="1" ref="L2" ca="1">_FV(A2,"Previous close",TRUE)</f>
        <v>1505.6</v>
      </c>
      <c r="M2" s="4" cm="1">
        <f t="array" aca="1" ref="M2" ca="1">_FV(A2,"Volume")</f>
        <v>1469143</v>
      </c>
    </row>
    <row r="3" spans="1:13" x14ac:dyDescent="0.35">
      <c r="A3" t="e" vm="2">
        <v>#VALUE!</v>
      </c>
      <c r="B3" t="str" cm="1">
        <f t="array" aca="1" ref="B3" ca="1">_FV(A3,"Ticker symbol",TRUE)</f>
        <v>RELIANCE</v>
      </c>
      <c r="C3" t="str" cm="1">
        <f t="array" aca="1" ref="C3" ca="1">_FV(A3,"Exchange")</f>
        <v>National Stock Exchange of India</v>
      </c>
      <c r="D3" t="str" cm="1">
        <f t="array" aca="1" ref="D3" ca="1">_FV(A3,"Instrument type",TRUE)</f>
        <v>Stock</v>
      </c>
      <c r="E3" t="str" cm="1">
        <f t="array" aca="1" ref="E3" ca="1">_FV(A3,"Industry")</f>
        <v>Oil &amp; Gas</v>
      </c>
      <c r="F3" s="2" cm="1">
        <f t="array" aca="1" ref="F3" ca="1">_FV(A3,"Market cap",TRUE)</f>
        <v>17153640000000</v>
      </c>
      <c r="G3" s="1" cm="1">
        <f t="array" aca="1" ref="G3" ca="1">_FV(A3,"Price")</f>
        <v>1267.5999999999999</v>
      </c>
      <c r="H3" s="3" cm="1">
        <f t="array" aca="1" ref="H3" ca="1">_FV(A3,"P/E",TRUE)</f>
        <v>25.258500000000002</v>
      </c>
      <c r="I3" s="1" cm="1">
        <f t="array" aca="1" ref="I3" ca="1">_FV(A3,"High")</f>
        <v>1272.5999999999999</v>
      </c>
      <c r="J3" s="1" cm="1">
        <f t="array" aca="1" ref="J3" ca="1">_FV(A3,"Low")</f>
        <v>1251.0999999999999</v>
      </c>
      <c r="K3" s="1" cm="1">
        <f t="array" aca="1" ref="K3" ca="1">_FV(A3,"Open")</f>
        <v>1253.5999999999999</v>
      </c>
      <c r="L3" s="1" cm="1">
        <f t="array" aca="1" ref="L3" ca="1">_FV(A3,"Previous close",TRUE)</f>
        <v>1252.05</v>
      </c>
      <c r="M3" s="4" cm="1">
        <f t="array" aca="1" ref="M3" ca="1">_FV(A3,"Volume")</f>
        <v>12612633</v>
      </c>
    </row>
    <row r="4" spans="1:13" x14ac:dyDescent="0.35">
      <c r="A4" t="e" vm="3">
        <v>#VALUE!</v>
      </c>
      <c r="B4" t="str" cm="1">
        <f t="array" aca="1" ref="B4" ca="1">_FV(A4,"Ticker symbol",TRUE)</f>
        <v>NTPC</v>
      </c>
      <c r="C4" t="str" cm="1">
        <f t="array" aca="1" ref="C4" ca="1">_FV(A4,"Exchange")</f>
        <v>National Stock Exchange of India</v>
      </c>
      <c r="D4" t="str" cm="1">
        <f t="array" aca="1" ref="D4" ca="1">_FV(A4,"Instrument type",TRUE)</f>
        <v>Stock</v>
      </c>
      <c r="E4" t="str" cm="1">
        <f t="array" aca="1" ref="E4" ca="1">_FV(A4,"Industry")</f>
        <v>Electrical Utilities &amp; IPPs</v>
      </c>
      <c r="F4" s="2" cm="1">
        <f t="array" aca="1" ref="F4" ca="1">_FV(A4,"Market cap",TRUE)</f>
        <v>3612008000000</v>
      </c>
      <c r="G4" s="1" cm="1">
        <f t="array" aca="1" ref="G4" ca="1">_FV(A4,"Price")</f>
        <v>372.5</v>
      </c>
      <c r="H4" s="3" cm="1">
        <f t="array" aca="1" ref="H4" ca="1">_FV(A4,"P/E",TRUE)</f>
        <v>16.3569</v>
      </c>
      <c r="I4" s="1" cm="1">
        <f t="array" aca="1" ref="I4" ca="1">_FV(A4,"High")</f>
        <v>385.2</v>
      </c>
      <c r="J4" s="1" cm="1">
        <f t="array" aca="1" ref="J4" ca="1">_FV(A4,"Low")</f>
        <v>371.35</v>
      </c>
      <c r="K4" s="1" cm="1">
        <f t="array" aca="1" ref="K4" ca="1">_FV(A4,"Open")</f>
        <v>380.05</v>
      </c>
      <c r="L4" s="1" cm="1">
        <f t="array" aca="1" ref="L4" ca="1">_FV(A4,"Previous close",TRUE)</f>
        <v>381.35</v>
      </c>
      <c r="M4" s="4" cm="1">
        <f t="array" aca="1" ref="M4" ca="1">_FV(A4,"Volume")</f>
        <v>15086601</v>
      </c>
    </row>
    <row r="5" spans="1:13" x14ac:dyDescent="0.35">
      <c r="A5" t="e" vm="4">
        <v>#VALUE!</v>
      </c>
      <c r="B5" t="str" cm="1">
        <f t="array" aca="1" ref="B5" ca="1">_FV(A5,"Ticker symbol",TRUE)</f>
        <v>CGPOWER</v>
      </c>
      <c r="C5" t="str" cm="1">
        <f t="array" aca="1" ref="C5" ca="1">_FV(A5,"Exchange")</f>
        <v>National Stock Exchange of India</v>
      </c>
      <c r="D5" t="str" cm="1">
        <f t="array" aca="1" ref="D5" ca="1">_FV(A5,"Instrument type",TRUE)</f>
        <v>Stock</v>
      </c>
      <c r="E5" t="str" cm="1">
        <f t="array" aca="1" ref="E5" ca="1">_FV(A5,"Industry")</f>
        <v>Machinery, Equipment &amp; Components</v>
      </c>
      <c r="F5" s="2" cm="1">
        <f t="array" aca="1" ref="F5" ca="1">_FV(A5,"Market cap",TRUE)</f>
        <v>1062452000000</v>
      </c>
      <c r="G5" s="1" cm="1">
        <f t="array" aca="1" ref="G5" ca="1">_FV(A5,"Price")</f>
        <v>695.1</v>
      </c>
      <c r="H5" s="3" cm="1">
        <f t="array" aca="1" ref="H5" ca="1">_FV(A5,"P/E",TRUE)</f>
        <v>118.82859999999999</v>
      </c>
      <c r="I5" s="1" cm="1">
        <f t="array" aca="1" ref="I5" ca="1">_FV(A5,"High")</f>
        <v>708</v>
      </c>
      <c r="J5" s="1" cm="1">
        <f t="array" aca="1" ref="J5" ca="1">_FV(A5,"Low")</f>
        <v>691.75</v>
      </c>
      <c r="K5" s="1" cm="1">
        <f t="array" aca="1" ref="K5" ca="1">_FV(A5,"Open")</f>
        <v>698</v>
      </c>
      <c r="L5" s="1" cm="1">
        <f t="array" aca="1" ref="L5" ca="1">_FV(A5,"Previous close",TRUE)</f>
        <v>689.05</v>
      </c>
      <c r="M5" s="4" cm="1">
        <f t="array" aca="1" ref="M5" ca="1">_FV(A5,"Volume")</f>
        <v>1602611</v>
      </c>
    </row>
    <row r="6" spans="1:13" x14ac:dyDescent="0.35">
      <c r="A6" t="e" vm="5">
        <v>#VALUE!</v>
      </c>
      <c r="B6" t="str" cm="1">
        <f t="array" aca="1" ref="B6" ca="1">_FV(A6,"Ticker symbol",TRUE)</f>
        <v>VBL</v>
      </c>
      <c r="C6" t="str" cm="1">
        <f t="array" aca="1" ref="C6" ca="1">_FV(A6,"Exchange")</f>
        <v>National Stock Exchange of India</v>
      </c>
      <c r="D6" t="str" cm="1">
        <f t="array" aca="1" ref="D6" ca="1">_FV(A6,"Instrument type",TRUE)</f>
        <v>Stock</v>
      </c>
      <c r="E6" t="str" cm="1">
        <f t="array" aca="1" ref="E6" ca="1">_FV(A6,"Industry")</f>
        <v>Beverages</v>
      </c>
      <c r="F6" s="2" cm="1">
        <f t="array" aca="1" ref="F6" ca="1">_FV(A6,"Market cap",TRUE)</f>
        <v>1870129000000</v>
      </c>
      <c r="G6" s="1" cm="1">
        <f t="array" aca="1" ref="G6" ca="1">_FV(A6,"Price")</f>
        <v>575.65</v>
      </c>
      <c r="H6" s="3" cm="1">
        <f t="array" aca="1" ref="H6" ca="1">_FV(A6,"P/E",TRUE)</f>
        <v>73.529799999999994</v>
      </c>
      <c r="I6" s="1" cm="1">
        <f t="array" aca="1" ref="I6" ca="1">_FV(A6,"High")</f>
        <v>596</v>
      </c>
      <c r="J6" s="1" cm="1">
        <f t="array" aca="1" ref="J6" ca="1">_FV(A6,"Low")</f>
        <v>570.29999999999995</v>
      </c>
      <c r="K6" s="1" cm="1">
        <f t="array" aca="1" ref="K6" ca="1">_FV(A6,"Open")</f>
        <v>575</v>
      </c>
      <c r="L6" s="1" cm="1">
        <f t="array" aca="1" ref="L6" ca="1">_FV(A6,"Previous close",TRUE)</f>
        <v>568.1</v>
      </c>
      <c r="M6" s="4" cm="1">
        <f t="array" aca="1" ref="M6" ca="1">_FV(A6,"Volume")</f>
        <v>6805711</v>
      </c>
    </row>
    <row r="7" spans="1:13" x14ac:dyDescent="0.35">
      <c r="A7" t="e" vm="6">
        <v>#VALUE!</v>
      </c>
      <c r="B7" t="str" cm="1">
        <f t="array" aca="1" ref="B7" ca="1">_FV(A7,"Ticker symbol",TRUE)</f>
        <v>COALINDIA</v>
      </c>
      <c r="C7" t="str" cm="1">
        <f t="array" aca="1" ref="C7" ca="1">_FV(A7,"Exchange")</f>
        <v>National Stock Exchange of India</v>
      </c>
      <c r="D7" t="str" cm="1">
        <f t="array" aca="1" ref="D7" ca="1">_FV(A7,"Instrument type",TRUE)</f>
        <v>Stock</v>
      </c>
      <c r="E7" t="str" cm="1">
        <f t="array" aca="1" ref="E7" ca="1">_FV(A7,"Industry")</f>
        <v>Coal</v>
      </c>
      <c r="F7" s="2" cm="1">
        <f t="array" aca="1" ref="F7" ca="1">_FV(A7,"Market cap",TRUE)</f>
        <v>2525178000000</v>
      </c>
      <c r="G7" s="1" cm="1">
        <f t="array" aca="1" ref="G7" ca="1">_FV(A7,"Price")</f>
        <v>409.75</v>
      </c>
      <c r="H7" s="3" cm="1">
        <f t="array" aca="1" ref="H7" ca="1">_FV(A7,"P/E",TRUE)</f>
        <v>6.1669999999999998</v>
      </c>
      <c r="I7" s="1" cm="1">
        <f t="array" aca="1" ref="I7" ca="1">_FV(A7,"High")</f>
        <v>413.35</v>
      </c>
      <c r="J7" s="1" cm="1">
        <f t="array" aca="1" ref="J7" ca="1">_FV(A7,"Low")</f>
        <v>402.6</v>
      </c>
      <c r="K7" s="1" cm="1">
        <f t="array" aca="1" ref="K7" ca="1">_FV(A7,"Open")</f>
        <v>407.2</v>
      </c>
      <c r="L7" s="1" cm="1">
        <f t="array" aca="1" ref="L7" ca="1">_FV(A7,"Previous close",TRUE)</f>
        <v>406.9</v>
      </c>
      <c r="M7" s="4" cm="1">
        <f t="array" aca="1" ref="M7" ca="1">_FV(A7,"Volume")</f>
        <v>8776485</v>
      </c>
    </row>
    <row r="8" spans="1:13" x14ac:dyDescent="0.35">
      <c r="A8" t="e" vm="7">
        <v>#VALUE!</v>
      </c>
      <c r="B8" t="str" cm="1">
        <f t="array" aca="1" ref="B8" ca="1">_FV(A8,"Ticker symbol",TRUE)</f>
        <v>HCLTECH</v>
      </c>
      <c r="C8" t="str" cm="1">
        <f t="array" aca="1" ref="C8" ca="1">_FV(A8,"Exchange")</f>
        <v>National Stock Exchange of India</v>
      </c>
      <c r="D8" t="str" cm="1">
        <f t="array" aca="1" ref="D8" ca="1">_FV(A8,"Instrument type",TRUE)</f>
        <v>Stock</v>
      </c>
      <c r="E8" t="str" cm="1">
        <f t="array" aca="1" ref="E8" ca="1">_FV(A8,"Industry")</f>
        <v>Software &amp; IT Services</v>
      </c>
      <c r="F8" s="2" cm="1">
        <f t="array" aca="1" ref="F8" ca="1">_FV(A8,"Market cap",TRUE)</f>
        <v>5033248000000</v>
      </c>
      <c r="G8" s="1" cm="1">
        <f t="array" aca="1" ref="G8" ca="1">_FV(A8,"Price")</f>
        <v>1858.95</v>
      </c>
      <c r="H8" s="3" cm="1">
        <f t="array" aca="1" ref="H8" ca="1">_FV(A8,"P/E",TRUE)</f>
        <v>29.936199999999999</v>
      </c>
      <c r="I8" s="1" cm="1">
        <f t="array" aca="1" ref="I8" ca="1">_FV(A8,"High")</f>
        <v>1897</v>
      </c>
      <c r="J8" s="1" cm="1">
        <f t="array" aca="1" ref="J8" ca="1">_FV(A8,"Low")</f>
        <v>1846.35</v>
      </c>
      <c r="K8" s="1" cm="1">
        <f t="array" aca="1" ref="K8" ca="1">_FV(A8,"Open")</f>
        <v>1872</v>
      </c>
      <c r="L8" s="1" cm="1">
        <f t="array" aca="1" ref="L8" ca="1">_FV(A8,"Previous close",TRUE)</f>
        <v>1864.75</v>
      </c>
      <c r="M8" s="4" cm="1">
        <f t="array" aca="1" ref="M8" ca="1">_FV(A8,"Volume")</f>
        <v>2462563</v>
      </c>
    </row>
    <row r="9" spans="1:13" x14ac:dyDescent="0.35">
      <c r="A9" t="e" vm="8">
        <v>#VALUE!</v>
      </c>
      <c r="B9" t="str" cm="1">
        <f t="array" aca="1" ref="B9" ca="1">_FV(A9,"Ticker symbol",TRUE)</f>
        <v>CONCOR</v>
      </c>
      <c r="C9" t="str" cm="1">
        <f t="array" aca="1" ref="C9" ca="1">_FV(A9,"Exchange")</f>
        <v>National Stock Exchange of India</v>
      </c>
      <c r="D9" t="str" cm="1">
        <f t="array" aca="1" ref="D9" ca="1">_FV(A9,"Instrument type",TRUE)</f>
        <v>Stock</v>
      </c>
      <c r="E9" t="str" cm="1">
        <f t="array" aca="1" ref="E9" ca="1">_FV(A9,"Industry")</f>
        <v>Freight &amp; Logistics Services</v>
      </c>
      <c r="F9" s="2" cm="1">
        <f t="array" aca="1" ref="F9" ca="1">_FV(A9,"Market cap",TRUE)</f>
        <v>478692100000</v>
      </c>
      <c r="G9" s="1" cm="1">
        <f t="array" aca="1" ref="G9" ca="1">_FV(A9,"Price")</f>
        <v>785.65</v>
      </c>
      <c r="H9" s="3" cm="1">
        <f t="array" aca="1" ref="H9" ca="1">_FV(A9,"P/E",TRUE)</f>
        <v>37.633800000000001</v>
      </c>
      <c r="I9" s="1" cm="1">
        <f t="array" aca="1" ref="I9" ca="1">_FV(A9,"High")</f>
        <v>795.55</v>
      </c>
      <c r="J9" s="1" cm="1">
        <f t="array" aca="1" ref="J9" ca="1">_FV(A9,"Low")</f>
        <v>776.5</v>
      </c>
      <c r="K9" s="1" cm="1">
        <f t="array" aca="1" ref="K9" ca="1">_FV(A9,"Open")</f>
        <v>792</v>
      </c>
      <c r="L9" s="1" cm="1">
        <f t="array" aca="1" ref="L9" ca="1">_FV(A9,"Previous close",TRUE)</f>
        <v>792.35</v>
      </c>
      <c r="M9" s="4" cm="1">
        <f t="array" aca="1" ref="M9" ca="1">_FV(A9,"Volume")</f>
        <v>656637</v>
      </c>
    </row>
    <row r="10" spans="1:13" x14ac:dyDescent="0.35">
      <c r="A10" t="e" vm="9">
        <v>#VALUE!</v>
      </c>
      <c r="B10" t="str" cm="1">
        <f t="array" aca="1" ref="B10" ca="1">_FV(A10,"Ticker symbol",TRUE)</f>
        <v>RECLTD</v>
      </c>
      <c r="C10" t="str" cm="1">
        <f t="array" aca="1" ref="C10" ca="1">_FV(A10,"Exchange")</f>
        <v>National Stock Exchange of India</v>
      </c>
      <c r="D10" t="str" cm="1">
        <f t="array" aca="1" ref="D10" ca="1">_FV(A10,"Instrument type",TRUE)</f>
        <v>Stock</v>
      </c>
      <c r="E10" t="str" cm="1">
        <f t="array" aca="1" ref="E10" ca="1">_FV(A10,"Industry")</f>
        <v>Banking Services</v>
      </c>
      <c r="F10" s="2" cm="1">
        <f t="array" aca="1" ref="F10" ca="1">_FV(A10,"Market cap",TRUE)</f>
        <v>1322800000000</v>
      </c>
      <c r="G10" s="1" cm="1">
        <f t="array" aca="1" ref="G10" ca="1">_FV(A10,"Price")</f>
        <v>502.35</v>
      </c>
      <c r="H10" s="3" cm="1">
        <f t="array" aca="1" ref="H10" ca="1">_FV(A10,"P/E",TRUE)</f>
        <v>8.8874999999999993</v>
      </c>
      <c r="I10" s="1" cm="1">
        <f t="array" aca="1" ref="I10" ca="1">_FV(A10,"High")</f>
        <v>513.79999999999995</v>
      </c>
      <c r="J10" s="1" cm="1">
        <f t="array" aca="1" ref="J10" ca="1">_FV(A10,"Low")</f>
        <v>500.3</v>
      </c>
      <c r="K10" s="1" cm="1">
        <f t="array" aca="1" ref="K10" ca="1">_FV(A10,"Open")</f>
        <v>510</v>
      </c>
      <c r="L10" s="1" cm="1">
        <f t="array" aca="1" ref="L10" ca="1">_FV(A10,"Previous close",TRUE)</f>
        <v>508.45</v>
      </c>
      <c r="M10" s="4" cm="1">
        <f t="array" aca="1" ref="M10" ca="1">_FV(A10,"Volume")</f>
        <v>7471948</v>
      </c>
    </row>
    <row r="11" spans="1:13" x14ac:dyDescent="0.35">
      <c r="A11" t="e" vm="10">
        <v>#VALUE!</v>
      </c>
      <c r="B11" t="str" cm="1">
        <f t="array" aca="1" ref="B11" ca="1">_FV(A11,"Ticker symbol",TRUE)</f>
        <v>SBIN</v>
      </c>
      <c r="C11" t="str" cm="1">
        <f t="array" aca="1" ref="C11" ca="1">_FV(A11,"Exchange")</f>
        <v>National Stock Exchange of India</v>
      </c>
      <c r="D11" t="str" cm="1">
        <f t="array" aca="1" ref="D11" ca="1">_FV(A11,"Instrument type",TRUE)</f>
        <v>Stock</v>
      </c>
      <c r="E11" t="str" cm="1">
        <f t="array" aca="1" ref="E11" ca="1">_FV(A11,"Industry")</f>
        <v>Banking Services</v>
      </c>
      <c r="F11" s="2" cm="1">
        <f t="array" aca="1" ref="F11" ca="1">_FV(A11,"Market cap",TRUE)</f>
        <v>7177626000000</v>
      </c>
      <c r="G11" s="1" cm="1">
        <f t="array" aca="1" ref="G11" ca="1">_FV(A11,"Price")</f>
        <v>804.25</v>
      </c>
      <c r="H11" s="3" cm="1">
        <f t="array" aca="1" ref="H11" ca="1">_FV(A11,"P/E",TRUE)</f>
        <v>10.030900000000001</v>
      </c>
      <c r="I11" s="1" cm="1">
        <f t="array" aca="1" ref="I11" ca="1">_FV(A11,"High")</f>
        <v>818</v>
      </c>
      <c r="J11" s="1" cm="1">
        <f t="array" aca="1" ref="J11" ca="1">_FV(A11,"Low")</f>
        <v>801.05</v>
      </c>
      <c r="K11" s="1" cm="1">
        <f t="array" aca="1" ref="K11" ca="1">_FV(A11,"Open")</f>
        <v>808.65</v>
      </c>
      <c r="L11" s="1" cm="1">
        <f t="array" aca="1" ref="L11" ca="1">_FV(A11,"Previous close",TRUE)</f>
        <v>808.65</v>
      </c>
      <c r="M11" s="4" cm="1">
        <f t="array" aca="1" ref="M11" ca="1">_FV(A11,"Volume")</f>
        <v>9461484</v>
      </c>
    </row>
    <row r="12" spans="1:13" x14ac:dyDescent="0.35">
      <c r="A12" t="e" vm="11">
        <v>#VALUE!</v>
      </c>
      <c r="B12" t="str" cm="1">
        <f t="array" aca="1" ref="B12" ca="1">_FV(A12,"Ticker symbol",TRUE)</f>
        <v>ONGC</v>
      </c>
      <c r="C12" t="str" cm="1">
        <f t="array" aca="1" ref="C12" ca="1">_FV(A12,"Exchange")</f>
        <v>National Stock Exchange of India</v>
      </c>
      <c r="D12" t="str" cm="1">
        <f t="array" aca="1" ref="D12" ca="1">_FV(A12,"Instrument type",TRUE)</f>
        <v>Stock</v>
      </c>
      <c r="E12" t="str" cm="1">
        <f t="array" aca="1" ref="E12" ca="1">_FV(A12,"Industry")</f>
        <v>Oil &amp; Gas</v>
      </c>
      <c r="F12" s="2" cm="1">
        <f t="array" aca="1" ref="F12" ca="1">_FV(A12,"Market cap",TRUE)</f>
        <v>3155134000000</v>
      </c>
      <c r="G12" s="1" cm="1">
        <f t="array" aca="1" ref="G12" ca="1">_FV(A12,"Price")</f>
        <v>250.8</v>
      </c>
      <c r="H12" s="3" cm="1">
        <f t="array" aca="1" ref="H12" ca="1">_FV(A12,"P/E",TRUE)</f>
        <v>6.9501999999999997</v>
      </c>
      <c r="I12" s="1" cm="1">
        <f t="array" aca="1" ref="I12" ca="1">_FV(A12,"High")</f>
        <v>254.3</v>
      </c>
      <c r="J12" s="1" cm="1">
        <f t="array" aca="1" ref="J12" ca="1">_FV(A12,"Low")</f>
        <v>249</v>
      </c>
      <c r="K12" s="1" cm="1">
        <f t="array" aca="1" ref="K12" ca="1">_FV(A12,"Open")</f>
        <v>252.55</v>
      </c>
      <c r="L12" s="1" cm="1">
        <f t="array" aca="1" ref="L12" ca="1">_FV(A12,"Previous close",TRUE)</f>
        <v>252.55</v>
      </c>
      <c r="M12" s="4" cm="1">
        <f t="array" aca="1" ref="M12" ca="1">_FV(A12,"Volume")</f>
        <v>12454540</v>
      </c>
    </row>
    <row r="13" spans="1:13" x14ac:dyDescent="0.35">
      <c r="A13" t="e" vm="12">
        <v>#VALUE!</v>
      </c>
      <c r="B13" t="str" cm="1">
        <f t="array" aca="1" ref="B13" ca="1">_FV(A13,"Ticker symbol",TRUE)</f>
        <v>500875</v>
      </c>
      <c r="C13" t="str" cm="1">
        <f t="array" aca="1" ref="C13" ca="1">_FV(A13,"Exchange")</f>
        <v>Bombay Stock Exchange</v>
      </c>
      <c r="D13" t="str" cm="1">
        <f t="array" aca="1" ref="D13" ca="1">_FV(A13,"Instrument type",TRUE)</f>
        <v>Stock</v>
      </c>
      <c r="E13" t="str" cm="1">
        <f t="array" aca="1" ref="E13" ca="1">_FV(A13,"Industry")</f>
        <v>Food &amp; Tobacco</v>
      </c>
      <c r="F13" s="2" cm="1">
        <f t="array" aca="1" ref="F13" ca="1">_FV(A13,"Market cap",TRUE)</f>
        <v>5831999000000</v>
      </c>
      <c r="G13" s="1" cm="1">
        <f t="array" aca="1" ref="G13" ca="1">_FV(A13,"Price")</f>
        <v>465.85</v>
      </c>
      <c r="H13" s="3" cm="1">
        <f t="array" aca="1" ref="H13" ca="1">_FV(A13,"P/E",TRUE)</f>
        <v>28.322199999999999</v>
      </c>
      <c r="I13" s="1" cm="1">
        <f t="array" aca="1" ref="I13" ca="1">_FV(A13,"High")</f>
        <v>472.75</v>
      </c>
      <c r="J13" s="1" cm="1">
        <f t="array" aca="1" ref="J13" ca="1">_FV(A13,"Low")</f>
        <v>462.1</v>
      </c>
      <c r="K13" s="1" cm="1">
        <f t="array" aca="1" ref="K13" ca="1">_FV(A13,"Open")</f>
        <v>470.55</v>
      </c>
      <c r="L13" s="1" cm="1">
        <f t="array" aca="1" ref="L13" ca="1">_FV(A13,"Previous close",TRUE)</f>
        <v>472.15</v>
      </c>
      <c r="M13" s="4" cm="1">
        <f t="array" aca="1" ref="M13" ca="1">_FV(A13,"Volume")</f>
        <v>517699</v>
      </c>
    </row>
    <row r="14" spans="1:13" x14ac:dyDescent="0.35">
      <c r="A14" t="e" vm="13">
        <v>#VALUE!</v>
      </c>
      <c r="B14" t="str" cm="1">
        <f t="array" aca="1" ref="B14" ca="1">_FV(A14,"Ticker symbol",TRUE)</f>
        <v>JSWINFRA</v>
      </c>
      <c r="C14" t="str" cm="1">
        <f t="array" aca="1" ref="C14" ca="1">_FV(A14,"Exchange")</f>
        <v>National Stock Exchange of India</v>
      </c>
      <c r="D14" t="str" cm="1">
        <f t="array" aca="1" ref="D14" ca="1">_FV(A14,"Instrument type",TRUE)</f>
        <v>Stock</v>
      </c>
      <c r="E14" t="str" cm="1">
        <f t="array" aca="1" ref="E14" ca="1">_FV(A14,"Industry")</f>
        <v>Transport Infrastructure</v>
      </c>
      <c r="F14" s="2" cm="1">
        <f t="array" aca="1" ref="F14" ca="1">_FV(A14,"Market cap",TRUE)</f>
        <v>601967100000</v>
      </c>
      <c r="G14" s="1" cm="1">
        <f t="array" aca="1" ref="G14" ca="1">_FV(A14,"Price")</f>
        <v>290.60000000000002</v>
      </c>
      <c r="H14" s="3" cm="1">
        <f t="array" aca="1" ref="H14" ca="1">_FV(A14,"P/E",TRUE)</f>
        <v>48.150799999999997</v>
      </c>
      <c r="I14" s="1" cm="1">
        <f t="array" aca="1" ref="I14" ca="1">_FV(A14,"High")</f>
        <v>296.89999999999998</v>
      </c>
      <c r="J14" s="1" cm="1">
        <f t="array" aca="1" ref="J14" ca="1">_FV(A14,"Low")</f>
        <v>288.8</v>
      </c>
      <c r="K14" s="1" cm="1">
        <f t="array" aca="1" ref="K14" ca="1">_FV(A14,"Open")</f>
        <v>291.10000000000002</v>
      </c>
      <c r="L14" s="1" cm="1">
        <f t="array" aca="1" ref="L14" ca="1">_FV(A14,"Previous close",TRUE)</f>
        <v>291.10000000000002</v>
      </c>
      <c r="M14" s="4" cm="1">
        <f t="array" aca="1" ref="M14" ca="1">_FV(A14,"Volume")</f>
        <v>1571106</v>
      </c>
    </row>
    <row r="15" spans="1:13" x14ac:dyDescent="0.35">
      <c r="A15" t="e" vm="14">
        <v>#VALUE!</v>
      </c>
      <c r="B15" t="str" cm="1">
        <f t="array" aca="1" ref="B15" ca="1">_FV(A15,"Ticker symbol",TRUE)</f>
        <v>CESC</v>
      </c>
      <c r="C15" t="str" cm="1">
        <f t="array" aca="1" ref="C15" ca="1">_FV(A15,"Exchange")</f>
        <v>National Stock Exchange of India</v>
      </c>
      <c r="D15" t="str" cm="1">
        <f t="array" aca="1" ref="D15" ca="1">_FV(A15,"Instrument type",TRUE)</f>
        <v>Stock</v>
      </c>
      <c r="E15" t="str" cm="1">
        <f t="array" aca="1" ref="E15" ca="1">_FV(A15,"Industry")</f>
        <v>Electrical Utilities &amp; IPPs</v>
      </c>
      <c r="F15" s="2" cm="1">
        <f t="array" aca="1" ref="F15" ca="1">_FV(A15,"Market cap",TRUE)</f>
        <v>231921800000</v>
      </c>
      <c r="G15" s="1" cm="1">
        <f t="array" aca="1" ref="G15" ca="1">_FV(A15,"Price")</f>
        <v>174.96</v>
      </c>
      <c r="H15" s="3" cm="1">
        <f t="array" aca="1" ref="H15" ca="1">_FV(A15,"P/E",TRUE)</f>
        <v>16.4071</v>
      </c>
      <c r="I15" s="1" cm="1">
        <f t="array" aca="1" ref="I15" ca="1">_FV(A15,"High")</f>
        <v>178.79</v>
      </c>
      <c r="J15" s="1" cm="1">
        <f t="array" aca="1" ref="J15" ca="1">_FV(A15,"Low")</f>
        <v>174.3</v>
      </c>
      <c r="K15" s="1" cm="1">
        <f t="array" aca="1" ref="K15" ca="1">_FV(A15,"Open")</f>
        <v>174.98</v>
      </c>
      <c r="L15" s="1" cm="1">
        <f t="array" aca="1" ref="L15" ca="1">_FV(A15,"Previous close",TRUE)</f>
        <v>174.98</v>
      </c>
      <c r="M15" s="4" cm="1">
        <f t="array" aca="1" ref="M15" ca="1">_FV(A15,"Volume")</f>
        <v>2990972</v>
      </c>
    </row>
    <row r="16" spans="1:13" x14ac:dyDescent="0.35">
      <c r="A16" t="e" vm="15">
        <v>#VALUE!</v>
      </c>
      <c r="B16" t="str" cm="1">
        <f t="array" aca="1" ref="B16" ca="1">_FV(A16,"Ticker symbol",TRUE)</f>
        <v>MOTHERSON</v>
      </c>
      <c r="C16" t="str" cm="1">
        <f t="array" aca="1" ref="C16" ca="1">_FV(A16,"Exchange")</f>
        <v>National Stock Exchange of India</v>
      </c>
      <c r="D16" t="str" cm="1">
        <f t="array" aca="1" ref="D16" ca="1">_FV(A16,"Instrument type",TRUE)</f>
        <v>Stock</v>
      </c>
      <c r="E16" t="str" cm="1">
        <f t="array" aca="1" ref="E16" ca="1">_FV(A16,"Industry")</f>
        <v>Automobiles &amp; Auto Parts</v>
      </c>
      <c r="F16" s="2" cm="1">
        <f t="array" aca="1" ref="F16" ca="1">_FV(A16,"Market cap",TRUE)</f>
        <v>1163522000000</v>
      </c>
      <c r="G16" s="1" cm="1">
        <f t="array" aca="1" ref="G16" ca="1">_FV(A16,"Price")</f>
        <v>165.36</v>
      </c>
      <c r="H16" s="3" cm="1">
        <f t="array" aca="1" ref="H16" ca="1">_FV(A16,"P/E",TRUE)</f>
        <v>29.547000000000001</v>
      </c>
      <c r="I16" s="1" cm="1">
        <f t="array" aca="1" ref="I16" ca="1">_FV(A16,"High")</f>
        <v>168.31</v>
      </c>
      <c r="J16" s="1" cm="1">
        <f t="array" aca="1" ref="J16" ca="1">_FV(A16,"Low")</f>
        <v>160.5</v>
      </c>
      <c r="K16" s="1" cm="1">
        <f t="array" aca="1" ref="K16" ca="1">_FV(A16,"Open")</f>
        <v>160.5</v>
      </c>
      <c r="L16" s="1" cm="1">
        <f t="array" aca="1" ref="L16" ca="1">_FV(A16,"Previous close",TRUE)</f>
        <v>159.88999999999999</v>
      </c>
      <c r="M16" s="4" cm="1">
        <f t="array" aca="1" ref="M16" ca="1">_FV(A16,"Volume")</f>
        <v>25258283</v>
      </c>
    </row>
    <row r="17" spans="1:13" x14ac:dyDescent="0.35">
      <c r="A17" t="e" vm="16">
        <v>#VALUE!</v>
      </c>
      <c r="B17" t="str" cm="1">
        <f t="array" aca="1" ref="B17" ca="1">_FV(A17,"Ticker symbol",TRUE)</f>
        <v>HFCL</v>
      </c>
      <c r="C17" t="str" cm="1">
        <f t="array" aca="1" ref="C17" ca="1">_FV(A17,"Exchange")</f>
        <v>National Stock Exchange of India</v>
      </c>
      <c r="D17" t="str" cm="1">
        <f t="array" aca="1" ref="D17" ca="1">_FV(A17,"Instrument type",TRUE)</f>
        <v>Stock</v>
      </c>
      <c r="E17" t="str" cm="1">
        <f t="array" aca="1" ref="E17" ca="1">_FV(A17,"Industry")</f>
        <v>Communications &amp; Networking</v>
      </c>
      <c r="F17" s="2" cm="1">
        <f t="array" aca="1" ref="F17" ca="1">_FV(A17,"Market cap",TRUE)</f>
        <v>182970500000</v>
      </c>
      <c r="G17" s="1" cm="1">
        <f t="array" aca="1" ref="G17" ca="1">_FV(A17,"Price")</f>
        <v>126.89</v>
      </c>
      <c r="H17" s="3" cm="1">
        <f t="array" aca="1" ref="H17" ca="1">_FV(A17,"P/E",TRUE)</f>
        <v>48.557299999999998</v>
      </c>
      <c r="I17" s="1" cm="1">
        <f t="array" aca="1" ref="I17" ca="1">_FV(A17,"High")</f>
        <v>128.30000000000001</v>
      </c>
      <c r="J17" s="1" cm="1">
        <f t="array" aca="1" ref="J17" ca="1">_FV(A17,"Low")</f>
        <v>121.43</v>
      </c>
      <c r="K17" s="1" cm="1">
        <f t="array" aca="1" ref="K17" ca="1">_FV(A17,"Open")</f>
        <v>121.65</v>
      </c>
      <c r="L17" s="1" cm="1">
        <f t="array" aca="1" ref="L17" ca="1">_FV(A17,"Previous close",TRUE)</f>
        <v>120.7</v>
      </c>
      <c r="M17" s="4" cm="1">
        <f t="array" aca="1" ref="M17" ca="1">_FV(A17,"Volume")</f>
        <v>29193373</v>
      </c>
    </row>
    <row r="18" spans="1:13" x14ac:dyDescent="0.35">
      <c r="A18" t="e" vm="17">
        <v>#VALUE!</v>
      </c>
      <c r="B18" t="str" cm="1">
        <f t="array" aca="1" ref="B18" ca="1">_FV(A18,"Ticker symbol",TRUE)</f>
        <v>POWERGRID</v>
      </c>
      <c r="C18" t="str" cm="1">
        <f t="array" aca="1" ref="C18" ca="1">_FV(A18,"Exchange")</f>
        <v>National Stock Exchange of India</v>
      </c>
      <c r="D18" t="str" cm="1">
        <f t="array" aca="1" ref="D18" ca="1">_FV(A18,"Instrument type",TRUE)</f>
        <v>Stock</v>
      </c>
      <c r="E18" t="str" cm="1">
        <f t="array" aca="1" ref="E18" ca="1">_FV(A18,"Industry")</f>
        <v>Electrical Utilities &amp; IPPs</v>
      </c>
      <c r="F18" s="2" cm="1">
        <f t="array" aca="1" ref="F18" ca="1">_FV(A18,"Market cap",TRUE)</f>
        <v>2902719000000</v>
      </c>
      <c r="G18" s="1" cm="1">
        <f t="array" aca="1" ref="G18" ca="1">_FV(A18,"Price")</f>
        <v>312.10000000000002</v>
      </c>
      <c r="H18" s="3" cm="1">
        <f t="array" aca="1" ref="H18" ca="1">_FV(A18,"P/E",TRUE)</f>
        <v>18.473199999999999</v>
      </c>
      <c r="I18" s="1" cm="1">
        <f t="array" aca="1" ref="I18" ca="1">_FV(A18,"High")</f>
        <v>318.8</v>
      </c>
      <c r="J18" s="1" cm="1">
        <f t="array" aca="1" ref="J18" ca="1">_FV(A18,"Low")</f>
        <v>310.60000000000002</v>
      </c>
      <c r="K18" s="1" cm="1">
        <f t="array" aca="1" ref="K18" ca="1">_FV(A18,"Open")</f>
        <v>315.10000000000002</v>
      </c>
      <c r="L18" s="1" cm="1">
        <f t="array" aca="1" ref="L18" ca="1">_FV(A18,"Previous close",TRUE)</f>
        <v>318</v>
      </c>
      <c r="M18" s="4" cm="1">
        <f t="array" aca="1" ref="M18" ca="1">_FV(A18,"Volume")</f>
        <v>12500377</v>
      </c>
    </row>
    <row r="19" spans="1:13" x14ac:dyDescent="0.35">
      <c r="A19" t="e" vm="18">
        <v>#VALUE!</v>
      </c>
      <c r="B19" t="str" cm="1">
        <f t="array" aca="1" ref="B19" ca="1">_FV(A19,"Ticker symbol",TRUE)</f>
        <v>500049</v>
      </c>
      <c r="C19" t="str" cm="1">
        <f t="array" aca="1" ref="C19" ca="1">_FV(A19,"Exchange")</f>
        <v>Bombay Stock Exchange</v>
      </c>
      <c r="D19" t="str" cm="1">
        <f t="array" aca="1" ref="D19" ca="1">_FV(A19,"Instrument type",TRUE)</f>
        <v>Stock</v>
      </c>
      <c r="E19" t="str" cm="1">
        <f t="array" aca="1" ref="E19" ca="1">_FV(A19,"Industry")</f>
        <v>Aerospace &amp; Defense</v>
      </c>
      <c r="F19" s="2" cm="1">
        <f t="array" aca="1" ref="F19" ca="1">_FV(A19,"Market cap",TRUE)</f>
        <v>2053682000000</v>
      </c>
      <c r="G19" s="1" cm="1">
        <f t="array" aca="1" ref="G19" ca="1">_FV(A19,"Price")</f>
        <v>281.05</v>
      </c>
      <c r="H19" s="3" cm="1">
        <f t="array" aca="1" ref="H19" ca="1">_FV(A19,"P/E",TRUE)</f>
        <v>45.224899999999998</v>
      </c>
      <c r="I19" s="1" cm="1">
        <f t="array" aca="1" ref="I19" ca="1">_FV(A19,"High")</f>
        <v>284.39999999999998</v>
      </c>
      <c r="J19" s="1" cm="1">
        <f t="array" aca="1" ref="J19" ca="1">_FV(A19,"Low")</f>
        <v>275.55</v>
      </c>
      <c r="K19" s="1" cm="1">
        <f t="array" aca="1" ref="K19" ca="1">_FV(A19,"Open")</f>
        <v>281.64999999999998</v>
      </c>
      <c r="L19" s="1" cm="1">
        <f t="array" aca="1" ref="L19" ca="1">_FV(A19,"Previous close",TRUE)</f>
        <v>281.45</v>
      </c>
      <c r="M19" s="4" cm="1">
        <f t="array" aca="1" ref="M19" ca="1">_FV(A19,"Volume")</f>
        <v>857486</v>
      </c>
    </row>
    <row r="20" spans="1:13" x14ac:dyDescent="0.35">
      <c r="A20" t="e" vm="19">
        <v>#VALUE!</v>
      </c>
      <c r="B20" t="str" cm="1">
        <f t="array" aca="1" ref="B20" ca="1">_FV(A20,"Ticker symbol",TRUE)</f>
        <v>IREDA</v>
      </c>
      <c r="C20" t="str" cm="1">
        <f t="array" aca="1" ref="C20" ca="1">_FV(A20,"Exchange")</f>
        <v>National Stock Exchange of India</v>
      </c>
      <c r="D20" t="str" cm="1">
        <f t="array" aca="1" ref="D20" ca="1">_FV(A20,"Instrument type",TRUE)</f>
        <v>Stock</v>
      </c>
      <c r="E20" t="str" cm="1">
        <f t="array" aca="1" ref="E20" ca="1">_FV(A20,"Industry")</f>
        <v>Banking Services</v>
      </c>
      <c r="F20" s="2" cm="1">
        <f t="array" aca="1" ref="F20" ca="1">_FV(A20,"Market cap",TRUE)</f>
        <v>510299000000</v>
      </c>
      <c r="G20" s="1" cm="1">
        <f t="array" aca="1" ref="G20" ca="1">_FV(A20,"Price")</f>
        <v>189.86</v>
      </c>
      <c r="H20" s="3" cm="1">
        <f t="array" aca="1" ref="H20" ca="1">_FV(A20,"P/E",TRUE)</f>
        <v>34.487400000000001</v>
      </c>
      <c r="I20" s="1" cm="1">
        <f t="array" aca="1" ref="I20" ca="1">_FV(A20,"High")</f>
        <v>195.1</v>
      </c>
      <c r="J20" s="1" cm="1">
        <f t="array" aca="1" ref="J20" ca="1">_FV(A20,"Low")</f>
        <v>187.71</v>
      </c>
      <c r="K20" s="1" cm="1">
        <f t="array" aca="1" ref="K20" ca="1">_FV(A20,"Open")</f>
        <v>187.98</v>
      </c>
      <c r="L20" s="1" cm="1">
        <f t="array" aca="1" ref="L20" ca="1">_FV(A20,"Previous close",TRUE)</f>
        <v>187.59</v>
      </c>
      <c r="M20" s="4" cm="1">
        <f t="array" aca="1" ref="M20" ca="1">_FV(A20,"Volume")</f>
        <v>4515956</v>
      </c>
    </row>
    <row r="21" spans="1:13" x14ac:dyDescent="0.35">
      <c r="A21" t="e" vm="20">
        <v>#VALUE!</v>
      </c>
      <c r="B21" t="str" cm="1">
        <f t="array" aca="1" ref="B21" ca="1">_FV(A21,"Ticker symbol",TRUE)</f>
        <v>MSUMI</v>
      </c>
      <c r="C21" t="str" cm="1">
        <f t="array" aca="1" ref="C21" ca="1">_FV(A21,"Exchange")</f>
        <v>National Stock Exchange of India</v>
      </c>
      <c r="D21" t="str" cm="1">
        <f t="array" aca="1" ref="D21" ca="1">_FV(A21,"Instrument type",TRUE)</f>
        <v>Stock</v>
      </c>
      <c r="E21" t="str" cm="1">
        <f t="array" aca="1" ref="E21" ca="1">_FV(A21,"Industry")</f>
        <v>Automobiles &amp; Auto Parts</v>
      </c>
      <c r="F21" s="2" cm="1">
        <f t="array" aca="1" ref="F21" ca="1">_FV(A21,"Market cap",TRUE)</f>
        <v>269378100000</v>
      </c>
      <c r="G21" s="1" cm="1">
        <f t="array" aca="1" ref="G21" ca="1">_FV(A21,"Price")</f>
        <v>60.93</v>
      </c>
      <c r="H21" s="3" cm="1">
        <f t="array" aca="1" ref="H21" ca="1">_FV(A21,"P/E",TRUE)</f>
        <v>40.783099999999997</v>
      </c>
      <c r="I21" s="1" cm="1">
        <f t="array" aca="1" ref="I21" ca="1">_FV(A21,"High")</f>
        <v>61.33</v>
      </c>
      <c r="J21" s="1" cm="1">
        <f t="array" aca="1" ref="J21" ca="1">_FV(A21,"Low")</f>
        <v>60.1</v>
      </c>
      <c r="K21" s="1" cm="1">
        <f t="array" aca="1" ref="K21" ca="1">_FV(A21,"Open")</f>
        <v>60.28</v>
      </c>
      <c r="L21" s="1" cm="1">
        <f t="array" aca="1" ref="L21" ca="1">_FV(A21,"Previous close",TRUE)</f>
        <v>60.28</v>
      </c>
      <c r="M21" s="4" cm="1">
        <f t="array" aca="1" ref="M21" ca="1">_FV(A21,"Volume")</f>
        <v>5841352</v>
      </c>
    </row>
    <row r="22" spans="1:13" x14ac:dyDescent="0.35">
      <c r="A22" t="e" vm="21">
        <v>#VALUE!</v>
      </c>
      <c r="B22" t="str" cm="1">
        <f t="array" aca="1" ref="B22" ca="1">_FV(A22,"Ticker symbol",TRUE)</f>
        <v>TEXRAIL</v>
      </c>
      <c r="C22" t="str" cm="1">
        <f t="array" aca="1" ref="C22" ca="1">_FV(A22,"Exchange")</f>
        <v>National Stock Exchange of India</v>
      </c>
      <c r="D22" t="str" cm="1">
        <f t="array" aca="1" ref="D22" ca="1">_FV(A22,"Instrument type",TRUE)</f>
        <v>Stock</v>
      </c>
      <c r="E22" t="str" cm="1">
        <f t="array" aca="1" ref="E22" ca="1">_FV(A22,"Industry")</f>
        <v>Machinery, Equipment &amp; Components</v>
      </c>
      <c r="F22" s="2" cm="1">
        <f t="array" aca="1" ref="F22" ca="1">_FV(A22,"Market cap",TRUE)</f>
        <v>79589870000</v>
      </c>
      <c r="G22" s="1" cm="1">
        <f t="array" aca="1" ref="G22" ca="1">_FV(A22,"Price")</f>
        <v>199.24</v>
      </c>
      <c r="H22" s="3" cm="1">
        <f t="array" aca="1" ref="H22" ca="1">_FV(A22,"P/E",TRUE)</f>
        <v>36.729700000000001</v>
      </c>
      <c r="I22" s="1" cm="1">
        <f t="array" aca="1" ref="I22" ca="1">_FV(A22,"High")</f>
        <v>202.89</v>
      </c>
      <c r="J22" s="1" cm="1">
        <f t="array" aca="1" ref="J22" ca="1">_FV(A22,"Low")</f>
        <v>196.55</v>
      </c>
      <c r="K22" s="1" cm="1">
        <f t="array" aca="1" ref="K22" ca="1">_FV(A22,"Open")</f>
        <v>197.81</v>
      </c>
      <c r="L22" s="1" cm="1">
        <f t="array" aca="1" ref="L22" ca="1">_FV(A22,"Previous close",TRUE)</f>
        <v>195.45</v>
      </c>
      <c r="M22" s="4" cm="1">
        <f t="array" aca="1" ref="M22" ca="1">_FV(A22,"Volume")</f>
        <v>1080511</v>
      </c>
    </row>
    <row r="23" spans="1:13" x14ac:dyDescent="0.35">
      <c r="A23" t="e" vm="22">
        <v>#VALUE!</v>
      </c>
      <c r="B23" t="str" cm="1">
        <f t="array" aca="1" ref="B23" ca="1">_FV(A23,"Ticker symbol",TRUE)</f>
        <v>NMDC</v>
      </c>
      <c r="C23" t="str" cm="1">
        <f t="array" aca="1" ref="C23" ca="1">_FV(A23,"Exchange")</f>
        <v>National Stock Exchange of India</v>
      </c>
      <c r="D23" t="str" cm="1">
        <f t="array" aca="1" ref="D23" ca="1">_FV(A23,"Instrument type",TRUE)</f>
        <v>Stock</v>
      </c>
      <c r="E23" t="str" cm="1">
        <f t="array" aca="1" ref="E23" ca="1">_FV(A23,"Industry")</f>
        <v>Metals &amp; Mining</v>
      </c>
      <c r="F23" s="2" cm="1">
        <f t="array" aca="1" ref="F23" ca="1">_FV(A23,"Market cap",TRUE)</f>
        <v>641216600000</v>
      </c>
      <c r="G23" s="1" cm="1">
        <f t="array" aca="1" ref="G23" ca="1">_FV(A23,"Price")</f>
        <v>218.8</v>
      </c>
      <c r="H23" s="3" cm="1">
        <f t="array" aca="1" ref="H23" ca="1">_FV(A23,"P/E",TRUE)</f>
        <v>10.5511</v>
      </c>
      <c r="I23" s="1" cm="1">
        <f t="array" aca="1" ref="I23" ca="1">_FV(A23,"High")</f>
        <v>228.5</v>
      </c>
      <c r="J23" s="1" cm="1">
        <f t="array" aca="1" ref="J23" ca="1">_FV(A23,"Low")</f>
        <v>218.1</v>
      </c>
      <c r="K23" s="1" cm="1">
        <f t="array" aca="1" ref="K23" ca="1">_FV(A23,"Open")</f>
        <v>223.71</v>
      </c>
      <c r="L23" s="1" cm="1">
        <f t="array" aca="1" ref="L23" ca="1">_FV(A23,"Previous close",TRUE)</f>
        <v>223.21</v>
      </c>
      <c r="M23" s="4" cm="1">
        <f t="array" aca="1" ref="M23" ca="1">_FV(A23,"Volume")</f>
        <v>9987841</v>
      </c>
    </row>
    <row r="24" spans="1:13" x14ac:dyDescent="0.35">
      <c r="A24" t="e" vm="23">
        <v>#VALUE!</v>
      </c>
      <c r="B24" t="str" cm="1">
        <f t="array" aca="1" ref="B24" ca="1">_FV(A24,"Ticker symbol",TRUE)</f>
        <v>IRB</v>
      </c>
      <c r="C24" t="str" cm="1">
        <f t="array" aca="1" ref="C24" ca="1">_FV(A24,"Exchange")</f>
        <v>National Stock Exchange of India</v>
      </c>
      <c r="D24" t="str" cm="1">
        <f t="array" aca="1" ref="D24" ca="1">_FV(A24,"Instrument type",TRUE)</f>
        <v>Stock</v>
      </c>
      <c r="E24" t="str" cm="1">
        <f t="array" aca="1" ref="E24" ca="1">_FV(A24,"Industry")</f>
        <v>Construction &amp; Engineering</v>
      </c>
      <c r="F24" s="2" cm="1">
        <f t="array" aca="1" ref="F24" ca="1">_FV(A24,"Market cap",TRUE)</f>
        <v>288422600000</v>
      </c>
      <c r="G24" s="1" cm="1">
        <f t="array" aca="1" ref="G24" ca="1">_FV(A24,"Price")</f>
        <v>47.76</v>
      </c>
      <c r="H24" s="3" cm="1">
        <f t="array" aca="1" ref="H24" ca="1">_FV(A24,"P/E",TRUE)</f>
        <v>46.672499999999999</v>
      </c>
      <c r="I24" s="1" cm="1">
        <f t="array" aca="1" ref="I24" ca="1">_FV(A24,"High")</f>
        <v>49.49</v>
      </c>
      <c r="J24" s="1" cm="1">
        <f t="array" aca="1" ref="J24" ca="1">_FV(A24,"Low")</f>
        <v>47.61</v>
      </c>
      <c r="K24" s="1" cm="1">
        <f t="array" aca="1" ref="K24" ca="1">_FV(A24,"Open")</f>
        <v>48.51</v>
      </c>
      <c r="L24" s="1" cm="1">
        <f t="array" aca="1" ref="L24" ca="1">_FV(A24,"Previous close",TRUE)</f>
        <v>48.52</v>
      </c>
      <c r="M24" s="4" cm="1">
        <f t="array" aca="1" ref="M24" ca="1">_FV(A24,"Volume")</f>
        <v>17659040</v>
      </c>
    </row>
    <row r="25" spans="1:13" x14ac:dyDescent="0.35">
      <c r="A25" t="e" vm="24">
        <v>#VALUE!</v>
      </c>
      <c r="B25" t="str" cm="1">
        <f t="array" aca="1" ref="B25" ca="1">_FV(A25,"Ticker symbol",TRUE)</f>
        <v>JSL</v>
      </c>
      <c r="C25" t="str" cm="1">
        <f t="array" aca="1" ref="C25" ca="1">_FV(A25,"Exchange")</f>
        <v>National Stock Exchange of India</v>
      </c>
      <c r="D25" t="str" cm="1">
        <f t="array" aca="1" ref="D25" ca="1">_FV(A25,"Instrument type",TRUE)</f>
        <v>Stock</v>
      </c>
      <c r="E25" t="str" cm="1">
        <f t="array" aca="1" ref="E25" ca="1">_FV(A25,"Industry")</f>
        <v>Metals &amp; Mining</v>
      </c>
      <c r="F25" s="2" cm="1">
        <f t="array" aca="1" ref="F25" ca="1">_FV(A25,"Market cap",TRUE)</f>
        <v>571916500000</v>
      </c>
      <c r="G25" s="1" cm="1">
        <f t="array" aca="1" ref="G25" ca="1">_FV(A25,"Price")</f>
        <v>694.55</v>
      </c>
      <c r="H25" s="3" cm="1">
        <f t="array" aca="1" ref="H25" ca="1">_FV(A25,"P/E",TRUE)</f>
        <v>23.322500000000002</v>
      </c>
      <c r="I25" s="1" cm="1">
        <f t="array" aca="1" ref="I25" ca="1">_FV(A25,"High")</f>
        <v>704.1</v>
      </c>
      <c r="J25" s="1" cm="1">
        <f t="array" aca="1" ref="J25" ca="1">_FV(A25,"Low")</f>
        <v>687</v>
      </c>
      <c r="K25" s="1" cm="1">
        <f t="array" aca="1" ref="K25" ca="1">_FV(A25,"Open")</f>
        <v>692.1</v>
      </c>
      <c r="L25" s="1" cm="1">
        <f t="array" aca="1" ref="L25" ca="1">_FV(A25,"Previous close",TRUE)</f>
        <v>692.1</v>
      </c>
      <c r="M25" s="4" cm="1">
        <f t="array" aca="1" ref="M25" ca="1">_FV(A25,"Volume")</f>
        <v>477721</v>
      </c>
    </row>
    <row r="26" spans="1:13" x14ac:dyDescent="0.35">
      <c r="A26" t="e" vm="25">
        <v>#VALUE!</v>
      </c>
      <c r="B26" t="str" cm="1">
        <f t="array" aca="1" ref="B26" ca="1">_FV(A26,"Ticker symbol",TRUE)</f>
        <v>JPPOWER</v>
      </c>
      <c r="C26" t="str" cm="1">
        <f t="array" aca="1" ref="C26" ca="1">_FV(A26,"Exchange")</f>
        <v>National Stock Exchange of India</v>
      </c>
      <c r="D26" t="str" cm="1">
        <f t="array" aca="1" ref="D26" ca="1">_FV(A26,"Instrument type",TRUE)</f>
        <v>Stock</v>
      </c>
      <c r="E26" t="str" cm="1">
        <f t="array" aca="1" ref="E26" ca="1">_FV(A26,"Industry")</f>
        <v>Electrical Utilities &amp; IPPs</v>
      </c>
      <c r="F26" s="2" cm="1">
        <f t="array" aca="1" ref="F26" ca="1">_FV(A26,"Market cap",TRUE)</f>
        <v>114384200000</v>
      </c>
      <c r="G26" s="1" cm="1">
        <f t="array" aca="1" ref="G26" ca="1">_FV(A26,"Price")</f>
        <v>16.690000000000001</v>
      </c>
      <c r="H26" s="3" cm="1">
        <f t="array" aca="1" ref="H26" ca="1">_FV(A26,"P/E",TRUE)</f>
        <v>9.3879999999999999</v>
      </c>
      <c r="I26" s="1" cm="1">
        <f t="array" aca="1" ref="I26" ca="1">_FV(A26,"High")</f>
        <v>17.12</v>
      </c>
      <c r="J26" s="1" cm="1">
        <f t="array" aca="1" ref="J26" ca="1">_FV(A26,"Low")</f>
        <v>16.52</v>
      </c>
      <c r="K26" s="1" cm="1">
        <f t="array" aca="1" ref="K26" ca="1">_FV(A26,"Open")</f>
        <v>16.64</v>
      </c>
      <c r="L26" s="1" cm="1">
        <f t="array" aca="1" ref="L26" ca="1">_FV(A26,"Previous close",TRUE)</f>
        <v>16.57</v>
      </c>
      <c r="M26" s="4" cm="1">
        <f t="array" aca="1" ref="M26" ca="1">_FV(A26,"Volume")</f>
        <v>42827273</v>
      </c>
    </row>
    <row r="27" spans="1:13" x14ac:dyDescent="0.35">
      <c r="A27" t="e" vm="26">
        <v>#VALUE!</v>
      </c>
      <c r="B27" t="str" cm="1">
        <f t="array" aca="1" ref="B27" ca="1">_FV(A27,"Ticker symbol",TRUE)</f>
        <v>JTLIND</v>
      </c>
      <c r="C27" t="str" cm="1">
        <f t="array" aca="1" ref="C27" ca="1">_FV(A27,"Exchange")</f>
        <v>National Stock Exchange of India</v>
      </c>
      <c r="D27" t="str" cm="1">
        <f t="array" aca="1" ref="D27" ca="1">_FV(A27,"Instrument type",TRUE)</f>
        <v>Stock</v>
      </c>
      <c r="E27" t="str" cm="1">
        <f t="array" aca="1" ref="E27" ca="1">_FV(A27,"Industry")</f>
        <v>Metals &amp; Mining</v>
      </c>
      <c r="F27" s="2" cm="1">
        <f t="array" aca="1" ref="F27" ca="1">_FV(A27,"Market cap",TRUE)</f>
        <v>19300760000</v>
      </c>
      <c r="G27" s="1" cm="1">
        <f t="array" aca="1" ref="G27" ca="1">_FV(A27,"Price")</f>
        <v>98.15</v>
      </c>
      <c r="H27" s="3" cm="1">
        <f t="array" aca="1" ref="H27" ca="1">_FV(A27,"P/E",TRUE)</f>
        <v>29.7514</v>
      </c>
      <c r="I27" s="1" cm="1">
        <f t="array" aca="1" ref="I27" ca="1">_FV(A27,"High")</f>
        <v>101</v>
      </c>
      <c r="J27" s="1" cm="1">
        <f t="array" aca="1" ref="J27" ca="1">_FV(A27,"Low")</f>
        <v>92.5</v>
      </c>
      <c r="K27" s="1" cm="1">
        <f t="array" aca="1" ref="K27" ca="1">_FV(A27,"Open")</f>
        <v>92.5</v>
      </c>
      <c r="L27" s="1" cm="1">
        <f t="array" aca="1" ref="L27" ca="1">_FV(A27,"Previous close",TRUE)</f>
        <v>91.9</v>
      </c>
      <c r="M27" s="4" cm="1">
        <f t="array" aca="1" ref="M27" ca="1">_FV(A27,"Volume")</f>
        <v>876155</v>
      </c>
    </row>
    <row r="28" spans="1:13" x14ac:dyDescent="0.35">
      <c r="A28" t="e" vm="27">
        <v>#VALUE!</v>
      </c>
      <c r="B28" t="str" cm="1">
        <f t="array" aca="1" ref="B28" ca="1">_FV(A28,"Ticker symbol",TRUE)</f>
        <v>540190</v>
      </c>
      <c r="C28" t="str" cm="1">
        <f t="array" aca="1" ref="C28" ca="1">_FV(A28,"Exchange")</f>
        <v>Bombay Stock Exchange</v>
      </c>
      <c r="D28" t="str" cm="1">
        <f t="array" aca="1" ref="D28" ca="1">_FV(A28,"Instrument type",TRUE)</f>
        <v>Stock</v>
      </c>
      <c r="E28" t="str" cm="1">
        <f t="array" aca="1" ref="E28" ca="1">_FV(A28,"Industry")</f>
        <v>Textiles &amp; Apparel</v>
      </c>
      <c r="F28" s="2" cm="1">
        <f t="array" aca="1" ref="F28" ca="1">_FV(A28,"Market cap",TRUE)</f>
        <v>563940000</v>
      </c>
      <c r="G28" s="1" cm="1">
        <f t="array" aca="1" ref="G28" ca="1">_FV(A28,"Price")</f>
        <v>1.95</v>
      </c>
      <c r="H28" s="3" cm="1">
        <f t="array" aca="1" ref="H28" ca="1">_FV(A28,"P/E",TRUE)</f>
        <v>2.0383</v>
      </c>
      <c r="I28" s="1" cm="1">
        <f t="array" aca="1" ref="I28" ca="1">_FV(A28,"High")</f>
        <v>2.08</v>
      </c>
      <c r="J28" s="1" cm="1">
        <f t="array" aca="1" ref="J28" ca="1">_FV(A28,"Low")</f>
        <v>1.94</v>
      </c>
      <c r="K28" s="1" cm="1">
        <f t="array" aca="1" ref="K28" ca="1">_FV(A28,"Open")</f>
        <v>2.08</v>
      </c>
      <c r="L28" s="1" cm="1">
        <f t="array" aca="1" ref="L28" ca="1">_FV(A28,"Previous close",TRUE)</f>
        <v>2.04</v>
      </c>
      <c r="M28" s="4" cm="1">
        <f t="array" aca="1" ref="M28" ca="1">_FV(A28,"Volume")</f>
        <v>4461791</v>
      </c>
    </row>
    <row r="29" spans="1:13" x14ac:dyDescent="0.35">
      <c r="A29" t="e" vm="28">
        <v>#VALUE!</v>
      </c>
      <c r="B29" t="str" cm="1">
        <f t="array" aca="1" ref="B29" ca="1">_FV(A29,"Ticker symbol",TRUE)</f>
        <v>GREENPOWER</v>
      </c>
      <c r="C29" t="str" cm="1">
        <f t="array" aca="1" ref="C29" ca="1">_FV(A29,"Exchange")</f>
        <v>National Stock Exchange of India</v>
      </c>
      <c r="D29" t="str" cm="1">
        <f t="array" aca="1" ref="D29" ca="1">_FV(A29,"Instrument type",TRUE)</f>
        <v>Stock</v>
      </c>
      <c r="E29" t="str" cm="1">
        <f t="array" aca="1" ref="E29" ca="1">_FV(A29,"Industry")</f>
        <v>Electrical Utilities &amp; IPPs</v>
      </c>
      <c r="F29" s="2" cm="1">
        <f t="array" aca="1" ref="F29" ca="1">_FV(A29,"Market cap",TRUE)</f>
        <v>20985540000</v>
      </c>
      <c r="G29" s="1" cm="1">
        <f t="array" aca="1" ref="G29" ca="1">_FV(A29,"Price")</f>
        <v>17.89</v>
      </c>
      <c r="H29" s="3" cm="1">
        <f t="array" aca="1" ref="H29" ca="1">_FV(A29,"P/E",TRUE)</f>
        <v>98.785200000000003</v>
      </c>
      <c r="I29" s="1" cm="1">
        <f t="array" aca="1" ref="I29" ca="1">_FV(A29,"High")</f>
        <v>18.25</v>
      </c>
      <c r="J29" s="1" cm="1">
        <f t="array" aca="1" ref="J29" ca="1">_FV(A29,"Low")</f>
        <v>17.57</v>
      </c>
      <c r="K29" s="1" cm="1">
        <f t="array" aca="1" ref="K29" ca="1">_FV(A29,"Open")</f>
        <v>17.579999999999998</v>
      </c>
      <c r="L29" s="1" cm="1">
        <f t="array" aca="1" ref="L29" ca="1">_FV(A29,"Previous close",TRUE)</f>
        <v>17.61</v>
      </c>
      <c r="M29" s="4" cm="1">
        <f t="array" aca="1" ref="M29" ca="1">_FV(A29,"Volume")</f>
        <v>5540295</v>
      </c>
    </row>
    <row r="30" spans="1:13" x14ac:dyDescent="0.35">
      <c r="A30" t="e" vm="29">
        <v>#VALUE!</v>
      </c>
      <c r="B30" t="str" cm="1">
        <f t="array" aca="1" ref="B30" ca="1">_FV(A30,"Ticker symbol",TRUE)</f>
        <v>PATELENG</v>
      </c>
      <c r="C30" t="str" cm="1">
        <f t="array" aca="1" ref="C30" ca="1">_FV(A30,"Exchange")</f>
        <v>National Stock Exchange of India</v>
      </c>
      <c r="D30" t="str" cm="1">
        <f t="array" aca="1" ref="D30" ca="1">_FV(A30,"Instrument type",TRUE)</f>
        <v>Stock</v>
      </c>
      <c r="E30" t="str" cm="1">
        <f t="array" aca="1" ref="E30" ca="1">_FV(A30,"Industry")</f>
        <v>Construction &amp; Engineering</v>
      </c>
      <c r="F30" s="2" cm="1">
        <f t="array" aca="1" ref="F30" ca="1">_FV(A30,"Market cap",TRUE)</f>
        <v>41268250000</v>
      </c>
      <c r="G30" s="1" cm="1">
        <f t="array" aca="1" ref="G30" ca="1">_FV(A30,"Price")</f>
        <v>51.12</v>
      </c>
      <c r="H30" s="3" cm="1">
        <f t="array" aca="1" ref="H30" ca="1">_FV(A30,"P/E",TRUE)</f>
        <v>14.1364</v>
      </c>
      <c r="I30" s="1" cm="1">
        <f t="array" aca="1" ref="I30" ca="1">_FV(A30,"High")</f>
        <v>52.75</v>
      </c>
      <c r="J30" s="1" cm="1">
        <f t="array" aca="1" ref="J30" ca="1">_FV(A30,"Low")</f>
        <v>50.95</v>
      </c>
      <c r="K30" s="1" cm="1">
        <f t="array" aca="1" ref="K30" ca="1">_FV(A30,"Open")</f>
        <v>51.7</v>
      </c>
      <c r="L30" s="1" cm="1">
        <f t="array" aca="1" ref="L30" ca="1">_FV(A30,"Previous close",TRUE)</f>
        <v>50.01</v>
      </c>
      <c r="M30" s="4" cm="1">
        <f t="array" aca="1" ref="M30" ca="1">_FV(A30,"Volume")</f>
        <v>8637033</v>
      </c>
    </row>
    <row r="31" spans="1:13" x14ac:dyDescent="0.35">
      <c r="A31" t="e" vm="30">
        <v>#VALUE!</v>
      </c>
      <c r="B31" t="str" cm="1">
        <f t="array" aca="1" ref="B31" ca="1">_FV(A31,"Ticker symbol",TRUE)</f>
        <v>NHPC</v>
      </c>
      <c r="C31" t="str" cm="1">
        <f t="array" aca="1" ref="C31" ca="1">_FV(A31,"Exchange")</f>
        <v>National Stock Exchange of India</v>
      </c>
      <c r="D31" t="str" cm="1">
        <f t="array" aca="1" ref="D31" ca="1">_FV(A31,"Instrument type",TRUE)</f>
        <v>Stock</v>
      </c>
      <c r="E31" t="str" cm="1">
        <f t="array" aca="1" ref="E31" ca="1">_FV(A31,"Industry")</f>
        <v>Electrical Utilities &amp; IPPs</v>
      </c>
      <c r="F31" s="2" cm="1">
        <f t="array" aca="1" ref="F31" ca="1">_FV(A31,"Market cap",TRUE)</f>
        <v>787329800000</v>
      </c>
      <c r="G31" s="1" cm="1">
        <f t="array" aca="1" ref="G31" ca="1">_FV(A31,"Price")</f>
        <v>78.38</v>
      </c>
      <c r="H31" s="3" cm="1">
        <f t="array" aca="1" ref="H31" ca="1">_FV(A31,"P/E",TRUE)</f>
        <v>26.499400000000001</v>
      </c>
      <c r="I31" s="1" cm="1">
        <f t="array" aca="1" ref="I31" ca="1">_FV(A31,"High")</f>
        <v>78.739999999999995</v>
      </c>
      <c r="J31" s="1" cm="1">
        <f t="array" aca="1" ref="J31" ca="1">_FV(A31,"Low")</f>
        <v>77.260000000000005</v>
      </c>
      <c r="K31" s="1" cm="1">
        <f t="array" aca="1" ref="K31" ca="1">_FV(A31,"Open")</f>
        <v>77.95</v>
      </c>
      <c r="L31" s="1" cm="1">
        <f t="array" aca="1" ref="L31" ca="1">_FV(A31,"Previous close",TRUE)</f>
        <v>77.94</v>
      </c>
      <c r="M31" s="4" cm="1">
        <f t="array" aca="1" ref="M31" ca="1">_FV(A31,"Volume")</f>
        <v>16163462</v>
      </c>
    </row>
    <row r="32" spans="1:13" x14ac:dyDescent="0.35">
      <c r="A32" t="e" vm="31">
        <v>#VALUE!</v>
      </c>
      <c r="B32" t="str" cm="1">
        <f t="array" aca="1" ref="B32" ca="1">_FV(A32,"Ticker symbol",TRUE)</f>
        <v>542753</v>
      </c>
      <c r="C32" t="str" cm="1">
        <f t="array" aca="1" ref="C32" ca="1">_FV(A32,"Exchange")</f>
        <v>Bombay Stock Exchange</v>
      </c>
      <c r="D32" t="str" cm="1">
        <f t="array" aca="1" ref="D32" ca="1">_FV(A32,"Instrument type",TRUE)</f>
        <v>Stock</v>
      </c>
      <c r="E32" t="str" cm="1">
        <f t="array" aca="1" ref="E32" ca="1">_FV(A32,"Industry")</f>
        <v>Freight &amp; Logistics Services</v>
      </c>
      <c r="F32" s="2" cm="1">
        <f t="array" aca="1" ref="F32" ca="1">_FV(A32,"Market cap",TRUE)</f>
        <v>2149333000</v>
      </c>
      <c r="G32" s="1" cm="1">
        <f t="array" aca="1" ref="G32" ca="1">_FV(A32,"Price")</f>
        <v>3.99</v>
      </c>
      <c r="H32" s="3" cm="1">
        <f t="array" aca="1" ref="H32" ca="1">_FV(A32,"P/E",TRUE)</f>
        <v>9.2382000000000009</v>
      </c>
      <c r="I32" s="1" cm="1">
        <f t="array" aca="1" ref="I32" ca="1">_FV(A32,"High")</f>
        <v>4.09</v>
      </c>
      <c r="J32" s="1" cm="1">
        <f t="array" aca="1" ref="J32" ca="1">_FV(A32,"Low")</f>
        <v>3.86</v>
      </c>
      <c r="K32" s="1" cm="1">
        <f t="array" aca="1" ref="K32" ca="1">_FV(A32,"Open")</f>
        <v>3.9</v>
      </c>
      <c r="L32" s="1" cm="1">
        <f t="array" aca="1" ref="L32" ca="1">_FV(A32,"Previous close",TRUE)</f>
        <v>3.93</v>
      </c>
      <c r="M32" s="4" cm="1">
        <f t="array" aca="1" ref="M32" ca="1">_FV(A32,"Volume")</f>
        <v>2102188</v>
      </c>
    </row>
    <row r="33" spans="1:13" x14ac:dyDescent="0.35">
      <c r="A33" t="e" vm="32">
        <v>#VALUE!</v>
      </c>
      <c r="B33" t="str" cm="1">
        <f t="array" aca="1" ref="B33" ca="1">_FV(A33,"Ticker symbol",TRUE)</f>
        <v>ICICIB22</v>
      </c>
      <c r="C33" t="str" cm="1">
        <f t="array" aca="1" ref="C33" ca="1">_FV(A33,"Exchange")</f>
        <v>National Stock Exchange of India</v>
      </c>
      <c r="D33" t="str" cm="1">
        <f t="array" aca="1" ref="D33" ca="1">_FV(A33,"Instrument type",TRUE)</f>
        <v>ETF</v>
      </c>
      <c r="E33" t="s">
        <v>21</v>
      </c>
      <c r="F33" s="2" cm="1">
        <f t="array" aca="1" ref="F33" ca="1">_FV(A33,"Market cap",TRUE)</f>
        <v>191598280604.22</v>
      </c>
      <c r="G33" s="1" cm="1">
        <f t="array" aca="1" ref="G33" ca="1">_FV(A33,"Price")</f>
        <v>108.7</v>
      </c>
      <c r="H33" s="3" t="s">
        <v>21</v>
      </c>
      <c r="I33" s="1" cm="1">
        <f t="array" aca="1" ref="I33" ca="1">_FV(A33,"High")</f>
        <v>110.8</v>
      </c>
      <c r="J33" s="1" cm="1">
        <f t="array" aca="1" ref="J33" ca="1">_FV(A33,"Low")</f>
        <v>108.45</v>
      </c>
      <c r="K33" s="1" cm="1">
        <f t="array" aca="1" ref="K33" ca="1">_FV(A33,"Open")</f>
        <v>110</v>
      </c>
      <c r="L33" s="1" cm="1">
        <f t="array" aca="1" ref="L33" ca="1">_FV(A33,"Previous close",TRUE)</f>
        <v>109.59</v>
      </c>
      <c r="M33" s="4" cm="1">
        <f t="array" aca="1" ref="M33" ca="1">_FV(A33,"Volume")</f>
        <v>510809</v>
      </c>
    </row>
    <row r="34" spans="1:13" x14ac:dyDescent="0.35">
      <c r="A34" t="e" vm="33">
        <v>#VALUE!</v>
      </c>
      <c r="B34" t="str" cm="1">
        <f t="array" aca="1" ref="B34" ca="1">_FV(A34,"Ticker symbol",TRUE)</f>
        <v>MOSMALL250</v>
      </c>
      <c r="C34" t="str" cm="1">
        <f t="array" aca="1" ref="C34" ca="1">_FV(A34,"Exchange")</f>
        <v>National Stock Exchange of India</v>
      </c>
      <c r="D34" t="str" cm="1">
        <f t="array" aca="1" ref="D34" ca="1">_FV(A34,"Instrument type",TRUE)</f>
        <v>ETF</v>
      </c>
      <c r="E34" t="s">
        <v>21</v>
      </c>
      <c r="F34" s="2" cm="1">
        <f t="array" aca="1" ref="F34" ca="1">_FV(A34,"Market cap",TRUE)</f>
        <v>824045000</v>
      </c>
      <c r="G34" s="1" cm="1">
        <f t="array" aca="1" ref="G34" ca="1">_FV(A34,"Price")</f>
        <v>16.86</v>
      </c>
      <c r="H34" s="3" t="s">
        <v>21</v>
      </c>
      <c r="I34" s="1" cm="1">
        <f t="array" aca="1" ref="I34" ca="1">_FV(A34,"High")</f>
        <v>16.989999999999998</v>
      </c>
      <c r="J34" s="1" cm="1">
        <f t="array" aca="1" ref="J34" ca="1">_FV(A34,"Low")</f>
        <v>16.61</v>
      </c>
      <c r="K34" s="1" cm="1">
        <f t="array" aca="1" ref="K34" ca="1">_FV(A34,"Open")</f>
        <v>16.84</v>
      </c>
      <c r="L34" s="1" cm="1">
        <f t="array" aca="1" ref="L34" ca="1">_FV(A34,"Previous close",TRUE)</f>
        <v>16.64</v>
      </c>
      <c r="M34" s="4" cm="1">
        <f t="array" aca="1" ref="M34" ca="1">_FV(A34,"Volume")</f>
        <v>520505</v>
      </c>
    </row>
    <row r="35" spans="1:13" x14ac:dyDescent="0.35">
      <c r="A35" t="e" vm="34">
        <v>#VALUE!</v>
      </c>
      <c r="B35" t="str" cm="1">
        <f t="array" aca="1" ref="B35" ca="1">_FV(A35,"Ticker symbol",TRUE)</f>
        <v>MOM100</v>
      </c>
      <c r="C35" t="str" cm="1">
        <f t="array" aca="1" ref="C35" ca="1">_FV(A35,"Exchange")</f>
        <v>National Stock Exchange of India</v>
      </c>
      <c r="D35" t="str" cm="1">
        <f t="array" aca="1" ref="D35" ca="1">_FV(A35,"Instrument type",TRUE)</f>
        <v>ETF</v>
      </c>
      <c r="E35" t="s">
        <v>21</v>
      </c>
      <c r="F35" s="2" cm="1">
        <f t="array" aca="1" ref="F35" ca="1">_FV(A35,"Market cap",TRUE)</f>
        <v>5336961000</v>
      </c>
      <c r="G35" s="1" cm="1">
        <f t="array" aca="1" ref="G35" ca="1">_FV(A35,"Price")</f>
        <v>57.94</v>
      </c>
      <c r="H35" s="3" t="s">
        <v>21</v>
      </c>
      <c r="I35" s="1" cm="1">
        <f t="array" aca="1" ref="I35" ca="1">_FV(A35,"High")</f>
        <v>58.5</v>
      </c>
      <c r="J35" s="1" cm="1">
        <f t="array" aca="1" ref="J35" ca="1">_FV(A35,"Low")</f>
        <v>57.61</v>
      </c>
      <c r="K35" s="1" cm="1">
        <f t="array" aca="1" ref="K35" ca="1">_FV(A35,"Open")</f>
        <v>57.99</v>
      </c>
      <c r="L35" s="1" cm="1">
        <f t="array" aca="1" ref="L35" ca="1">_FV(A35,"Previous close",TRUE)</f>
        <v>57.65</v>
      </c>
      <c r="M35" s="4" cm="1">
        <f t="array" aca="1" ref="M35" ca="1">_FV(A35,"Volume")</f>
        <v>308512</v>
      </c>
    </row>
    <row r="36" spans="1:13" x14ac:dyDescent="0.35">
      <c r="A36" t="e" vm="35">
        <v>#VALUE!</v>
      </c>
      <c r="B36" t="str" cm="1">
        <f t="array" aca="1" ref="B36" ca="1">_FV(A36,"Ticker symbol",TRUE)</f>
        <v>PHARMABEES</v>
      </c>
      <c r="C36" t="str" cm="1">
        <f t="array" aca="1" ref="C36" ca="1">_FV(A36,"Exchange")</f>
        <v>National Stock Exchange of India</v>
      </c>
      <c r="D36" t="str" cm="1">
        <f t="array" aca="1" ref="D36" ca="1">_FV(A36,"Instrument type",TRUE)</f>
        <v>ETF</v>
      </c>
      <c r="E36" t="s">
        <v>21</v>
      </c>
      <c r="F36" s="2" cm="1">
        <f t="array" aca="1" ref="F36" ca="1">_FV(A36,"Market cap",TRUE)</f>
        <v>8522807000</v>
      </c>
      <c r="G36" s="1" cm="1">
        <f t="array" aca="1" ref="G36" ca="1">_FV(A36,"Price")</f>
        <v>22.23</v>
      </c>
      <c r="H36" s="3" t="s">
        <v>21</v>
      </c>
      <c r="I36" s="1" cm="1">
        <f t="array" aca="1" ref="I36" ca="1">_FV(A36,"High")</f>
        <v>22.53</v>
      </c>
      <c r="J36" s="1" cm="1">
        <f t="array" aca="1" ref="J36" ca="1">_FV(A36,"Low")</f>
        <v>22.12</v>
      </c>
      <c r="K36" s="1" cm="1">
        <f t="array" aca="1" ref="K36" ca="1">_FV(A36,"Open")</f>
        <v>22.52</v>
      </c>
      <c r="L36" s="1" cm="1">
        <f t="array" aca="1" ref="L36" ca="1">_FV(A36,"Previous close",TRUE)</f>
        <v>22.28</v>
      </c>
      <c r="M36" s="4" cm="1">
        <f t="array" aca="1" ref="M36" ca="1">_FV(A36,"Volume")</f>
        <v>4180515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1466-5794-4F8B-B852-A82E4C558CBC}">
  <dimension ref="A1:N43"/>
  <sheetViews>
    <sheetView topLeftCell="B1" zoomScale="102" workbookViewId="0">
      <selection activeCell="E2" sqref="E2"/>
    </sheetView>
  </sheetViews>
  <sheetFormatPr defaultRowHeight="14.5" x14ac:dyDescent="0.35"/>
  <cols>
    <col min="1" max="1" width="65.54296875" bestFit="1" customWidth="1"/>
    <col min="2" max="2" width="51.81640625" bestFit="1" customWidth="1"/>
    <col min="3" max="3" width="31.453125" bestFit="1" customWidth="1"/>
    <col min="4" max="4" width="13.81640625" bestFit="1" customWidth="1"/>
    <col min="5" max="5" width="17.36328125" bestFit="1" customWidth="1"/>
    <col min="6" max="6" width="7.7265625" bestFit="1" customWidth="1"/>
    <col min="7" max="7" width="12.54296875" bestFit="1" customWidth="1"/>
    <col min="8" max="8" width="11.54296875" bestFit="1" customWidth="1"/>
    <col min="9" max="9" width="12.54296875" bestFit="1" customWidth="1"/>
    <col min="10" max="10" width="10.6328125" bestFit="1" customWidth="1"/>
    <col min="11" max="11" width="13.54296875" bestFit="1" customWidth="1"/>
  </cols>
  <sheetData>
    <row r="1" spans="1:14" x14ac:dyDescent="0.35">
      <c r="A1" t="s">
        <v>12</v>
      </c>
      <c r="B1" t="s">
        <v>16</v>
      </c>
      <c r="C1" t="s">
        <v>2</v>
      </c>
      <c r="D1" t="s">
        <v>22</v>
      </c>
      <c r="E1" t="s">
        <v>19</v>
      </c>
      <c r="F1" t="s">
        <v>13</v>
      </c>
      <c r="G1" t="s">
        <v>18</v>
      </c>
      <c r="H1" t="s">
        <v>11</v>
      </c>
      <c r="I1" t="s">
        <v>17</v>
      </c>
      <c r="J1" t="s">
        <v>43</v>
      </c>
      <c r="K1" t="s">
        <v>14</v>
      </c>
      <c r="L1" t="s">
        <v>45</v>
      </c>
      <c r="N1" t="s">
        <v>59</v>
      </c>
    </row>
    <row r="2" spans="1:14" x14ac:dyDescent="0.35">
      <c r="A2" t="e" vm="1">
        <v>#VALUE!</v>
      </c>
      <c r="B2" t="str" cm="1">
        <f t="array" aca="1" ref="B2" ca="1">_FV(A2,"Official name",TRUE)</f>
        <v>CIPLA LIMITED</v>
      </c>
      <c r="C2" t="str" cm="1">
        <f t="array" aca="1" ref="C2" ca="1">_FV(A2,"Industry")</f>
        <v>Pharmaceuticals</v>
      </c>
      <c r="D2" t="str" cm="1">
        <f t="array" aca="1" ref="D2" ca="1">_FV(A2,"Instrument type",TRUE)</f>
        <v>Stock</v>
      </c>
      <c r="E2" s="17">
        <f>'Stock Purchase History'!N4</f>
        <v>1277.7777777777778</v>
      </c>
      <c r="F2">
        <v>20</v>
      </c>
      <c r="G2" s="6">
        <f>E2*F2</f>
        <v>25555.555555555555</v>
      </c>
      <c r="H2" s="1" cm="1">
        <f t="array" aca="1" ref="H2" ca="1">_FV(A2,"Price")</f>
        <v>1499.75</v>
      </c>
      <c r="I2" s="1">
        <f t="shared" ref="I2:I33" ca="1" si="0">(F2*H2)</f>
        <v>29995</v>
      </c>
      <c r="J2" s="1">
        <f ca="1">I2-G2</f>
        <v>4439.4444444444453</v>
      </c>
      <c r="K2" s="8">
        <f ca="1">(I2-G2)*100/G2</f>
        <v>17.371739130434786</v>
      </c>
    </row>
    <row r="3" spans="1:14" x14ac:dyDescent="0.35">
      <c r="A3" t="e" vm="2">
        <v>#VALUE!</v>
      </c>
      <c r="B3" t="str" cm="1">
        <f t="array" aca="1" ref="B3" ca="1">_FV(A3,"Official name",TRUE)</f>
        <v>RELIANCE INDUSTRIES LIMITED</v>
      </c>
      <c r="C3" t="str" cm="1">
        <f t="array" aca="1" ref="C3" ca="1">_FV(A3,"Industry")</f>
        <v>Oil &amp; Gas</v>
      </c>
      <c r="D3" t="str" cm="1">
        <f t="array" aca="1" ref="D3" ca="1">_FV(A3,"Instrument type",TRUE)</f>
        <v>Stock</v>
      </c>
      <c r="E3" s="6">
        <v>1339.27</v>
      </c>
      <c r="F3">
        <v>15</v>
      </c>
      <c r="G3" s="6">
        <f t="shared" ref="G3:G36" si="1">E3*F3</f>
        <v>20089.05</v>
      </c>
      <c r="H3" s="1" cm="1">
        <f t="array" aca="1" ref="H3" ca="1">_FV(A3,"Price")</f>
        <v>1267.5999999999999</v>
      </c>
      <c r="I3" s="1">
        <f t="shared" ca="1" si="0"/>
        <v>19014</v>
      </c>
      <c r="J3" s="1">
        <f t="shared" ref="J3:J36" ca="1" si="2">I3-G3</f>
        <v>-1075.0499999999993</v>
      </c>
      <c r="K3" s="8">
        <f t="shared" ref="K3:K33" ca="1" si="3">(I3-G3)*100/G3</f>
        <v>-5.3514227900273994</v>
      </c>
    </row>
    <row r="4" spans="1:14" x14ac:dyDescent="0.35">
      <c r="A4" t="e" vm="3">
        <v>#VALUE!</v>
      </c>
      <c r="B4" t="str" cm="1">
        <f t="array" aca="1" ref="B4" ca="1">_FV(A4,"Official name",TRUE)</f>
        <v>NTPC LIMITED</v>
      </c>
      <c r="C4" t="str" cm="1">
        <f t="array" aca="1" ref="C4" ca="1">_FV(A4,"Industry")</f>
        <v>Electrical Utilities &amp; IPPs</v>
      </c>
      <c r="D4" t="str" cm="1">
        <f t="array" aca="1" ref="D4" ca="1">_FV(A4,"Instrument type",TRUE)</f>
        <v>Stock</v>
      </c>
      <c r="E4" s="6">
        <v>406.11</v>
      </c>
      <c r="F4">
        <v>46</v>
      </c>
      <c r="G4" s="6">
        <f t="shared" si="1"/>
        <v>18681.060000000001</v>
      </c>
      <c r="H4" s="1" cm="1">
        <f t="array" aca="1" ref="H4" ca="1">_FV(A4,"Price")</f>
        <v>372.5</v>
      </c>
      <c r="I4" s="1">
        <f t="shared" ca="1" si="0"/>
        <v>17135</v>
      </c>
      <c r="J4" s="1">
        <f t="shared" ca="1" si="2"/>
        <v>-1546.0600000000013</v>
      </c>
      <c r="K4" s="8">
        <f t="shared" ca="1" si="3"/>
        <v>-8.2760828346999631</v>
      </c>
    </row>
    <row r="5" spans="1:14" x14ac:dyDescent="0.35">
      <c r="A5" t="e" vm="4">
        <v>#VALUE!</v>
      </c>
      <c r="B5" t="str" cm="1">
        <f t="array" aca="1" ref="B5" ca="1">_FV(A5,"Official name",TRUE)</f>
        <v>CG POWER AND INDUSTRIAL SOLUTIONS LIMITED</v>
      </c>
      <c r="C5" t="str" cm="1">
        <f t="array" aca="1" ref="C5" ca="1">_FV(A5,"Industry")</f>
        <v>Machinery, Equipment &amp; Components</v>
      </c>
      <c r="D5" t="str" cm="1">
        <f t="array" aca="1" ref="D5" ca="1">_FV(A5,"Instrument type",TRUE)</f>
        <v>Stock</v>
      </c>
      <c r="E5" s="6">
        <v>726.54</v>
      </c>
      <c r="F5">
        <v>22</v>
      </c>
      <c r="G5" s="6">
        <f t="shared" si="1"/>
        <v>15983.88</v>
      </c>
      <c r="H5" s="1" cm="1">
        <f t="array" aca="1" ref="H5" ca="1">_FV(A5,"Price")</f>
        <v>695.1</v>
      </c>
      <c r="I5" s="1">
        <f t="shared" ca="1" si="0"/>
        <v>15292.2</v>
      </c>
      <c r="J5" s="1">
        <f t="shared" ca="1" si="2"/>
        <v>-691.67999999999847</v>
      </c>
      <c r="K5" s="8">
        <f t="shared" ca="1" si="3"/>
        <v>-4.327359815013617</v>
      </c>
    </row>
    <row r="6" spans="1:14" x14ac:dyDescent="0.35">
      <c r="A6" t="e" vm="5">
        <v>#VALUE!</v>
      </c>
      <c r="B6" t="str" cm="1">
        <f t="array" aca="1" ref="B6" ca="1">_FV(A6,"Official name",TRUE)</f>
        <v>VARUN BEVERAGES LIMITED</v>
      </c>
      <c r="C6" t="str" cm="1">
        <f t="array" aca="1" ref="C6" ca="1">_FV(A6,"Industry")</f>
        <v>Beverages</v>
      </c>
      <c r="D6" t="str" cm="1">
        <f t="array" aca="1" ref="D6" ca="1">_FV(A6,"Instrument type",TRUE)</f>
        <v>Stock</v>
      </c>
      <c r="E6" s="6">
        <v>604.30999999999995</v>
      </c>
      <c r="F6">
        <v>24</v>
      </c>
      <c r="G6" s="6">
        <f t="shared" si="1"/>
        <v>14503.439999999999</v>
      </c>
      <c r="H6" s="1" cm="1">
        <f t="array" aca="1" ref="H6" ca="1">_FV(A6,"Price")</f>
        <v>575.65</v>
      </c>
      <c r="I6" s="1">
        <f t="shared" ca="1" si="0"/>
        <v>13815.599999999999</v>
      </c>
      <c r="J6" s="1">
        <f t="shared" ca="1" si="2"/>
        <v>-687.84000000000015</v>
      </c>
      <c r="K6" s="8">
        <f t="shared" ca="1" si="3"/>
        <v>-4.7425989972034239</v>
      </c>
    </row>
    <row r="7" spans="1:14" x14ac:dyDescent="0.35">
      <c r="A7" t="e" vm="36">
        <v>#VALUE!</v>
      </c>
      <c r="B7" t="str" cm="1">
        <f t="array" aca="1" ref="B7" ca="1">_FV(A7,"Official name",TRUE)</f>
        <v>COAL INDIA LTD</v>
      </c>
      <c r="C7" t="str" cm="1">
        <f t="array" aca="1" ref="C7" ca="1">_FV(A7,"Industry")</f>
        <v>Coal</v>
      </c>
      <c r="D7" t="str" cm="1">
        <f t="array" aca="1" ref="D7" ca="1">_FV(A7,"Instrument type",TRUE)</f>
        <v>Stock</v>
      </c>
      <c r="E7" s="6">
        <v>455.23</v>
      </c>
      <c r="F7">
        <v>31</v>
      </c>
      <c r="G7" s="6">
        <f t="shared" si="1"/>
        <v>14112.130000000001</v>
      </c>
      <c r="H7" s="1" cm="1">
        <f t="array" aca="1" ref="H7" ca="1">_FV(A7,"Price")</f>
        <v>409.75</v>
      </c>
      <c r="I7" s="1">
        <f t="shared" ca="1" si="0"/>
        <v>12702.25</v>
      </c>
      <c r="J7" s="1">
        <f t="shared" ca="1" si="2"/>
        <v>-1409.880000000001</v>
      </c>
      <c r="K7" s="8">
        <f t="shared" ca="1" si="3"/>
        <v>-9.9905542253366502</v>
      </c>
    </row>
    <row r="8" spans="1:14" x14ac:dyDescent="0.35">
      <c r="A8" t="e" vm="7">
        <v>#VALUE!</v>
      </c>
      <c r="B8" t="str" cm="1">
        <f t="array" aca="1" ref="B8" ca="1">_FV(A8,"Official name",TRUE)</f>
        <v>HCL TECHNOLOGIES LIMITED</v>
      </c>
      <c r="C8" t="str" cm="1">
        <f t="array" aca="1" ref="C8" ca="1">_FV(A8,"Industry")</f>
        <v>Software &amp; IT Services</v>
      </c>
      <c r="D8" t="str" cm="1">
        <f t="array" aca="1" ref="D8" ca="1">_FV(A8,"Instrument type",TRUE)</f>
        <v>Stock</v>
      </c>
      <c r="E8" s="6">
        <v>1767.68</v>
      </c>
      <c r="F8">
        <v>8</v>
      </c>
      <c r="G8" s="6">
        <f t="shared" si="1"/>
        <v>14141.44</v>
      </c>
      <c r="H8" s="1" cm="1">
        <f t="array" aca="1" ref="H8" ca="1">_FV(A8,"Price")</f>
        <v>1858.95</v>
      </c>
      <c r="I8" s="1">
        <f t="shared" ca="1" si="0"/>
        <v>14871.6</v>
      </c>
      <c r="J8" s="1">
        <f t="shared" ca="1" si="2"/>
        <v>730.15999999999985</v>
      </c>
      <c r="K8" s="8">
        <f t="shared" ca="1" si="3"/>
        <v>5.1632648443157123</v>
      </c>
    </row>
    <row r="9" spans="1:14" x14ac:dyDescent="0.35">
      <c r="A9" t="e" vm="8">
        <v>#VALUE!</v>
      </c>
      <c r="B9" t="str" cm="1">
        <f t="array" aca="1" ref="B9" ca="1">_FV(A9,"Official name",TRUE)</f>
        <v>CONTAINER CORPORATION OF INDIA LIMITED</v>
      </c>
      <c r="C9" t="str" cm="1">
        <f t="array" aca="1" ref="C9" ca="1">_FV(A9,"Industry")</f>
        <v>Freight &amp; Logistics Services</v>
      </c>
      <c r="D9" t="str" cm="1">
        <f t="array" aca="1" ref="D9" ca="1">_FV(A9,"Instrument type",TRUE)</f>
        <v>Stock</v>
      </c>
      <c r="E9" s="6">
        <v>828.53</v>
      </c>
      <c r="F9">
        <v>15</v>
      </c>
      <c r="G9" s="6">
        <f t="shared" si="1"/>
        <v>12427.949999999999</v>
      </c>
      <c r="H9" s="1" cm="1">
        <f t="array" aca="1" ref="H9" ca="1">_FV(A9,"Price")</f>
        <v>785.65</v>
      </c>
      <c r="I9" s="1">
        <f t="shared" ca="1" si="0"/>
        <v>11784.75</v>
      </c>
      <c r="J9" s="1">
        <f t="shared" ca="1" si="2"/>
        <v>-643.19999999999891</v>
      </c>
      <c r="K9" s="8">
        <f t="shared" ca="1" si="3"/>
        <v>-5.1754311853523625</v>
      </c>
    </row>
    <row r="10" spans="1:14" x14ac:dyDescent="0.35">
      <c r="A10" t="e" vm="9">
        <v>#VALUE!</v>
      </c>
      <c r="B10" t="str" cm="1">
        <f t="array" aca="1" ref="B10" ca="1">_FV(A10,"Official name",TRUE)</f>
        <v>REC LIMITED</v>
      </c>
      <c r="C10" t="str" cm="1">
        <f t="array" aca="1" ref="C10" ca="1">_FV(A10,"Industry")</f>
        <v>Banking Services</v>
      </c>
      <c r="D10" t="str" cm="1">
        <f t="array" aca="1" ref="D10" ca="1">_FV(A10,"Instrument type",TRUE)</f>
        <v>Stock</v>
      </c>
      <c r="E10" s="6">
        <v>513.24</v>
      </c>
      <c r="F10">
        <v>19</v>
      </c>
      <c r="G10" s="6">
        <f t="shared" si="1"/>
        <v>9751.56</v>
      </c>
      <c r="H10" s="1" cm="1">
        <f t="array" aca="1" ref="H10" ca="1">_FV(A10,"Price")</f>
        <v>502.35</v>
      </c>
      <c r="I10" s="1">
        <f t="shared" ca="1" si="0"/>
        <v>9544.65</v>
      </c>
      <c r="J10" s="1">
        <f t="shared" ca="1" si="2"/>
        <v>-206.90999999999985</v>
      </c>
      <c r="K10" s="8">
        <f t="shared" ca="1" si="3"/>
        <v>-2.1218143558569076</v>
      </c>
    </row>
    <row r="11" spans="1:14" x14ac:dyDescent="0.35">
      <c r="A11" t="e" vm="37">
        <v>#VALUE!</v>
      </c>
      <c r="B11" t="str" cm="1">
        <f t="array" aca="1" ref="B11" ca="1">_FV(A11,"Official name",TRUE)</f>
        <v>State Bank of India</v>
      </c>
      <c r="C11" t="str" cm="1">
        <f t="array" aca="1" ref="C11" ca="1">_FV(A11,"Industry")</f>
        <v>Banking Services</v>
      </c>
      <c r="D11" t="str" cm="1">
        <f t="array" aca="1" ref="D11" ca="1">_FV(A11,"Instrument type",TRUE)</f>
        <v>Stock</v>
      </c>
      <c r="E11" s="6">
        <v>799.38</v>
      </c>
      <c r="F11">
        <v>12</v>
      </c>
      <c r="G11" s="6">
        <f t="shared" si="1"/>
        <v>9592.56</v>
      </c>
      <c r="H11" s="1" cm="1">
        <f t="array" aca="1" ref="H11" ca="1">_FV(A11,"Price")</f>
        <v>804.05</v>
      </c>
      <c r="I11" s="1">
        <f t="shared" ca="1" si="0"/>
        <v>9648.5999999999985</v>
      </c>
      <c r="J11" s="1">
        <f t="shared" ca="1" si="2"/>
        <v>56.039999999999054</v>
      </c>
      <c r="K11" s="8">
        <f t="shared" ca="1" si="3"/>
        <v>0.58420275713677117</v>
      </c>
    </row>
    <row r="12" spans="1:14" x14ac:dyDescent="0.35">
      <c r="A12" t="e" vm="11">
        <v>#VALUE!</v>
      </c>
      <c r="B12" t="str" cm="1">
        <f t="array" aca="1" ref="B12" ca="1">_FV(A12,"Official name",TRUE)</f>
        <v>OIL AND NATURAL GAS CORPORATION LIMITED</v>
      </c>
      <c r="C12" t="str" cm="1">
        <f t="array" aca="1" ref="C12" ca="1">_FV(A12,"Industry")</f>
        <v>Oil &amp; Gas</v>
      </c>
      <c r="D12" t="str" cm="1">
        <f t="array" aca="1" ref="D12" ca="1">_FV(A12,"Instrument type",TRUE)</f>
        <v>Stock</v>
      </c>
      <c r="E12" s="6">
        <v>273.67</v>
      </c>
      <c r="F12">
        <v>30</v>
      </c>
      <c r="G12" s="6">
        <f t="shared" si="1"/>
        <v>8210.1</v>
      </c>
      <c r="H12" s="1" cm="1">
        <f t="array" aca="1" ref="H12" ca="1">_FV(A12,"Price")</f>
        <v>250.8</v>
      </c>
      <c r="I12" s="1">
        <f t="shared" ca="1" si="0"/>
        <v>7524</v>
      </c>
      <c r="J12" s="1">
        <f t="shared" ca="1" si="2"/>
        <v>-686.10000000000036</v>
      </c>
      <c r="K12" s="8">
        <f t="shared" ca="1" si="3"/>
        <v>-8.3567800635802278</v>
      </c>
    </row>
    <row r="13" spans="1:14" x14ac:dyDescent="0.35">
      <c r="A13" t="e" vm="12">
        <v>#VALUE!</v>
      </c>
      <c r="B13" t="str" cm="1">
        <f t="array" aca="1" ref="B13" ca="1">_FV(A13,"Official name",TRUE)</f>
        <v>ITC LIMITED</v>
      </c>
      <c r="C13" t="str" cm="1">
        <f t="array" aca="1" ref="C13" ca="1">_FV(A13,"Industry")</f>
        <v>Food &amp; Tobacco</v>
      </c>
      <c r="D13" t="str" cm="1">
        <f t="array" aca="1" ref="D13" ca="1">_FV(A13,"Instrument type",TRUE)</f>
        <v>Stock</v>
      </c>
      <c r="E13" s="6">
        <v>483.83</v>
      </c>
      <c r="F13">
        <v>16</v>
      </c>
      <c r="G13" s="6">
        <f t="shared" si="1"/>
        <v>7741.28</v>
      </c>
      <c r="H13" s="1" cm="1">
        <f t="array" aca="1" ref="H13" ca="1">_FV(A13,"Price")</f>
        <v>465.85</v>
      </c>
      <c r="I13" s="1">
        <f t="shared" ca="1" si="0"/>
        <v>7453.6</v>
      </c>
      <c r="J13" s="1">
        <f t="shared" ca="1" si="2"/>
        <v>-287.67999999999938</v>
      </c>
      <c r="K13" s="8">
        <f t="shared" ca="1" si="3"/>
        <v>-3.7161813033503424</v>
      </c>
    </row>
    <row r="14" spans="1:14" x14ac:dyDescent="0.35">
      <c r="A14" t="e" vm="13">
        <v>#VALUE!</v>
      </c>
      <c r="B14" t="str" cm="1">
        <f t="array" aca="1" ref="B14" ca="1">_FV(A14,"Official name",TRUE)</f>
        <v>JSW INFRASTRUCTURE LIMITED</v>
      </c>
      <c r="C14" t="str" cm="1">
        <f t="array" aca="1" ref="C14" ca="1">_FV(A14,"Industry")</f>
        <v>Transport Infrastructure</v>
      </c>
      <c r="D14" t="str" cm="1">
        <f t="array" aca="1" ref="D14" ca="1">_FV(A14,"Instrument type",TRUE)</f>
        <v>Stock</v>
      </c>
      <c r="E14" s="6">
        <v>287.54000000000002</v>
      </c>
      <c r="F14">
        <v>23</v>
      </c>
      <c r="G14" s="6">
        <f t="shared" si="1"/>
        <v>6613.42</v>
      </c>
      <c r="H14" s="1" cm="1">
        <f t="array" aca="1" ref="H14" ca="1">_FV(A14,"Price")</f>
        <v>290.60000000000002</v>
      </c>
      <c r="I14" s="1">
        <f t="shared" ca="1" si="0"/>
        <v>6683.8</v>
      </c>
      <c r="J14" s="1">
        <f t="shared" ca="1" si="2"/>
        <v>70.380000000000109</v>
      </c>
      <c r="K14" s="8">
        <f t="shared" ca="1" si="3"/>
        <v>1.0641997635111653</v>
      </c>
    </row>
    <row r="15" spans="1:14" x14ac:dyDescent="0.35">
      <c r="A15" t="e" vm="14">
        <v>#VALUE!</v>
      </c>
      <c r="B15" t="str" cm="1">
        <f t="array" aca="1" ref="B15" ca="1">_FV(A15,"Official name",TRUE)</f>
        <v>CESC LTD</v>
      </c>
      <c r="C15" t="str" cm="1">
        <f t="array" aca="1" ref="C15" ca="1">_FV(A15,"Industry")</f>
        <v>Electrical Utilities &amp; IPPs</v>
      </c>
      <c r="D15" t="str" cm="1">
        <f t="array" aca="1" ref="D15" ca="1">_FV(A15,"Instrument type",TRUE)</f>
        <v>Stock</v>
      </c>
      <c r="E15" s="6">
        <v>182.72</v>
      </c>
      <c r="F15">
        <v>38</v>
      </c>
      <c r="G15" s="6">
        <f t="shared" si="1"/>
        <v>6943.36</v>
      </c>
      <c r="H15" s="1" cm="1">
        <f t="array" aca="1" ref="H15" ca="1">_FV(A15,"Price")</f>
        <v>174.96</v>
      </c>
      <c r="I15" s="1">
        <f t="shared" ca="1" si="0"/>
        <v>6648.4800000000005</v>
      </c>
      <c r="J15" s="1">
        <f t="shared" ca="1" si="2"/>
        <v>-294.8799999999992</v>
      </c>
      <c r="K15" s="8">
        <f t="shared" ca="1" si="3"/>
        <v>-4.2469352014010395</v>
      </c>
    </row>
    <row r="16" spans="1:14" x14ac:dyDescent="0.35">
      <c r="A16" t="e" vm="15">
        <v>#VALUE!</v>
      </c>
      <c r="B16" t="str" cm="1">
        <f t="array" aca="1" ref="B16" ca="1">_FV(A16,"Official name",TRUE)</f>
        <v>SAMVARDHANA MOTHERSON INTERNATIONAL LIMITED</v>
      </c>
      <c r="C16" t="str" cm="1">
        <f t="array" aca="1" ref="C16" ca="1">_FV(A16,"Industry")</f>
        <v>Automobiles &amp; Auto Parts</v>
      </c>
      <c r="D16" t="str" cm="1">
        <f t="array" aca="1" ref="D16" ca="1">_FV(A16,"Instrument type",TRUE)</f>
        <v>Stock</v>
      </c>
      <c r="E16" s="6">
        <v>194.49</v>
      </c>
      <c r="F16">
        <v>35</v>
      </c>
      <c r="G16" s="6">
        <f t="shared" si="1"/>
        <v>6807.1500000000005</v>
      </c>
      <c r="H16" s="1" cm="1">
        <f t="array" aca="1" ref="H16" ca="1">_FV(A16,"Price")</f>
        <v>165.36</v>
      </c>
      <c r="I16" s="1">
        <f t="shared" ca="1" si="0"/>
        <v>5787.6</v>
      </c>
      <c r="J16" s="1">
        <f t="shared" ca="1" si="2"/>
        <v>-1019.5500000000002</v>
      </c>
      <c r="K16" s="8">
        <f t="shared" ca="1" si="3"/>
        <v>-14.977633811507019</v>
      </c>
    </row>
    <row r="17" spans="1:11" x14ac:dyDescent="0.35">
      <c r="A17" t="e" vm="16">
        <v>#VALUE!</v>
      </c>
      <c r="B17" t="str" cm="1">
        <f t="array" aca="1" ref="B17" ca="1">_FV(A17,"Official name",TRUE)</f>
        <v>HFCL LIMITED</v>
      </c>
      <c r="C17" t="str" cm="1">
        <f t="array" aca="1" ref="C17" ca="1">_FV(A17,"Industry")</f>
        <v>Communications &amp; Networking</v>
      </c>
      <c r="D17" t="str" cm="1">
        <f t="array" aca="1" ref="D17" ca="1">_FV(A17,"Instrument type",TRUE)</f>
        <v>Stock</v>
      </c>
      <c r="E17" s="6">
        <v>121.39</v>
      </c>
      <c r="F17">
        <v>49</v>
      </c>
      <c r="G17" s="6">
        <f t="shared" si="1"/>
        <v>5948.11</v>
      </c>
      <c r="H17" s="1" cm="1">
        <f t="array" aca="1" ref="H17" ca="1">_FV(A17,"Price")</f>
        <v>126.89</v>
      </c>
      <c r="I17" s="1">
        <f t="shared" ca="1" si="0"/>
        <v>6217.61</v>
      </c>
      <c r="J17" s="1">
        <f t="shared" ca="1" si="2"/>
        <v>269.5</v>
      </c>
      <c r="K17" s="8">
        <f t="shared" ca="1" si="3"/>
        <v>4.530850976192438</v>
      </c>
    </row>
    <row r="18" spans="1:11" x14ac:dyDescent="0.35">
      <c r="A18" t="e" vm="17">
        <v>#VALUE!</v>
      </c>
      <c r="B18" t="str" cm="1">
        <f t="array" aca="1" ref="B18" ca="1">_FV(A18,"Official name",TRUE)</f>
        <v>POWER GRID CORPORATION OF INDIA LIMITED</v>
      </c>
      <c r="C18" t="str" cm="1">
        <f t="array" aca="1" ref="C18" ca="1">_FV(A18,"Industry")</f>
        <v>Electrical Utilities &amp; IPPs</v>
      </c>
      <c r="D18" t="str" cm="1">
        <f t="array" aca="1" ref="D18" ca="1">_FV(A18,"Instrument type",TRUE)</f>
        <v>Stock</v>
      </c>
      <c r="E18" s="6">
        <v>319.12</v>
      </c>
      <c r="F18">
        <v>18</v>
      </c>
      <c r="G18" s="6">
        <f t="shared" si="1"/>
        <v>5744.16</v>
      </c>
      <c r="H18" s="1" cm="1">
        <f t="array" aca="1" ref="H18" ca="1">_FV(A18,"Price")</f>
        <v>312.10000000000002</v>
      </c>
      <c r="I18" s="1">
        <f t="shared" ca="1" si="0"/>
        <v>5617.8</v>
      </c>
      <c r="J18" s="1">
        <f t="shared" ca="1" si="2"/>
        <v>-126.35999999999967</v>
      </c>
      <c r="K18" s="8">
        <f t="shared" ca="1" si="3"/>
        <v>-2.1997994484833234</v>
      </c>
    </row>
    <row r="19" spans="1:11" x14ac:dyDescent="0.35">
      <c r="A19" t="e" vm="18">
        <v>#VALUE!</v>
      </c>
      <c r="B19" t="str" cm="1">
        <f t="array" aca="1" ref="B19" ca="1">_FV(A19,"Official name",TRUE)</f>
        <v>BHARAT ELECTRONICS LIMITED</v>
      </c>
      <c r="C19" t="str" cm="1">
        <f t="array" aca="1" ref="C19" ca="1">_FV(A19,"Industry")</f>
        <v>Aerospace &amp; Defense</v>
      </c>
      <c r="D19" t="str" cm="1">
        <f t="array" aca="1" ref="D19" ca="1">_FV(A19,"Instrument type",TRUE)</f>
        <v>Stock</v>
      </c>
      <c r="E19" s="6">
        <v>269.13</v>
      </c>
      <c r="F19">
        <v>20</v>
      </c>
      <c r="G19" s="6">
        <f t="shared" si="1"/>
        <v>5382.6</v>
      </c>
      <c r="H19" s="1" cm="1">
        <f t="array" aca="1" ref="H19" ca="1">_FV(A19,"Price")</f>
        <v>281.05</v>
      </c>
      <c r="I19" s="1">
        <f t="shared" ca="1" si="0"/>
        <v>5621</v>
      </c>
      <c r="J19" s="1">
        <f t="shared" ca="1" si="2"/>
        <v>238.39999999999964</v>
      </c>
      <c r="K19" s="8">
        <f t="shared" ca="1" si="3"/>
        <v>4.4290863151636684</v>
      </c>
    </row>
    <row r="20" spans="1:11" x14ac:dyDescent="0.35">
      <c r="A20" t="e" vm="19">
        <v>#VALUE!</v>
      </c>
      <c r="B20" t="str" cm="1">
        <f t="array" aca="1" ref="B20" ca="1">_FV(A20,"Official name",TRUE)</f>
        <v>INDIAN RENEWABLE ENERGY DEVELOPMENT AGENCY LIMITED</v>
      </c>
      <c r="C20" t="str" cm="1">
        <f t="array" aca="1" ref="C20" ca="1">_FV(A20,"Industry")</f>
        <v>Banking Services</v>
      </c>
      <c r="D20" t="str" cm="1">
        <f t="array" aca="1" ref="D20" ca="1">_FV(A20,"Instrument type",TRUE)</f>
        <v>Stock</v>
      </c>
      <c r="E20" s="6">
        <v>211.45</v>
      </c>
      <c r="F20">
        <v>27</v>
      </c>
      <c r="G20" s="6">
        <f t="shared" si="1"/>
        <v>5709.15</v>
      </c>
      <c r="H20" s="1" cm="1">
        <f t="array" aca="1" ref="H20" ca="1">_FV(A20,"Price")</f>
        <v>189.86</v>
      </c>
      <c r="I20" s="1">
        <f t="shared" ca="1" si="0"/>
        <v>5126.22</v>
      </c>
      <c r="J20" s="1">
        <f t="shared" ca="1" si="2"/>
        <v>-582.92999999999938</v>
      </c>
      <c r="K20" s="8">
        <f t="shared" ca="1" si="3"/>
        <v>-10.21045164341451</v>
      </c>
    </row>
    <row r="21" spans="1:11" x14ac:dyDescent="0.35">
      <c r="A21" t="e" vm="20">
        <v>#VALUE!</v>
      </c>
      <c r="B21" t="str" cm="1">
        <f t="array" aca="1" ref="B21" ca="1">_FV(A21,"Official name",TRUE)</f>
        <v>MOTHERSON SUMI WIRING INDIA LIMITED</v>
      </c>
      <c r="C21" t="str" cm="1">
        <f t="array" aca="1" ref="C21" ca="1">_FV(A21,"Industry")</f>
        <v>Automobiles &amp; Auto Parts</v>
      </c>
      <c r="D21" t="str" cm="1">
        <f t="array" aca="1" ref="D21" ca="1">_FV(A21,"Instrument type",TRUE)</f>
        <v>Stock</v>
      </c>
      <c r="E21" s="6">
        <v>62.08</v>
      </c>
      <c r="F21">
        <v>68</v>
      </c>
      <c r="G21" s="6">
        <f t="shared" si="1"/>
        <v>4221.4399999999996</v>
      </c>
      <c r="H21" s="1" cm="1">
        <f t="array" aca="1" ref="H21" ca="1">_FV(A21,"Price")</f>
        <v>60.93</v>
      </c>
      <c r="I21" s="1">
        <f t="shared" ca="1" si="0"/>
        <v>4143.24</v>
      </c>
      <c r="J21" s="1">
        <f t="shared" ca="1" si="2"/>
        <v>-78.199999999999818</v>
      </c>
      <c r="K21" s="8">
        <f t="shared" ca="1" si="3"/>
        <v>-1.8524484536082433</v>
      </c>
    </row>
    <row r="22" spans="1:11" x14ac:dyDescent="0.35">
      <c r="A22" t="e" vm="21">
        <v>#VALUE!</v>
      </c>
      <c r="B22" t="str" cm="1">
        <f t="array" aca="1" ref="B22" ca="1">_FV(A22,"Official name",TRUE)</f>
        <v>TEXMACO RAIL &amp; ENGINEERING LIMITED</v>
      </c>
      <c r="C22" t="str" cm="1">
        <f t="array" aca="1" ref="C22" ca="1">_FV(A22,"Industry")</f>
        <v>Machinery, Equipment &amp; Components</v>
      </c>
      <c r="D22" t="str" cm="1">
        <f t="array" aca="1" ref="D22" ca="1">_FV(A22,"Instrument type",TRUE)</f>
        <v>Stock</v>
      </c>
      <c r="E22" s="6">
        <v>195.98</v>
      </c>
      <c r="F22">
        <v>18</v>
      </c>
      <c r="G22" s="6">
        <f t="shared" si="1"/>
        <v>3527.64</v>
      </c>
      <c r="H22" s="1" cm="1">
        <f t="array" aca="1" ref="H22" ca="1">_FV(A22,"Price")</f>
        <v>199.24</v>
      </c>
      <c r="I22" s="1">
        <f t="shared" ca="1" si="0"/>
        <v>3586.32</v>
      </c>
      <c r="J22" s="1">
        <f t="shared" ca="1" si="2"/>
        <v>58.680000000000291</v>
      </c>
      <c r="K22" s="8">
        <f t="shared" ca="1" si="3"/>
        <v>1.6634350443922932</v>
      </c>
    </row>
    <row r="23" spans="1:11" x14ac:dyDescent="0.35">
      <c r="A23" t="e" vm="22">
        <v>#VALUE!</v>
      </c>
      <c r="B23" t="str" cm="1">
        <f t="array" aca="1" ref="B23" ca="1">_FV(A23,"Official name",TRUE)</f>
        <v>NMDC LIMITED</v>
      </c>
      <c r="C23" t="str" cm="1">
        <f t="array" aca="1" ref="C23" ca="1">_FV(A23,"Industry")</f>
        <v>Metals &amp; Mining</v>
      </c>
      <c r="D23" t="str" cm="1">
        <f t="array" aca="1" ref="D23" ca="1">_FV(A23,"Instrument type",TRUE)</f>
        <v>Stock</v>
      </c>
      <c r="E23" s="6">
        <v>215.13</v>
      </c>
      <c r="F23">
        <v>16</v>
      </c>
      <c r="G23" s="6">
        <f t="shared" si="1"/>
        <v>3442.08</v>
      </c>
      <c r="H23" s="1" cm="1">
        <f t="array" aca="1" ref="H23" ca="1">_FV(A23,"Price")</f>
        <v>218.8</v>
      </c>
      <c r="I23" s="1">
        <f t="shared" ca="1" si="0"/>
        <v>3500.8</v>
      </c>
      <c r="J23" s="1">
        <f t="shared" ca="1" si="2"/>
        <v>58.720000000000255</v>
      </c>
      <c r="K23" s="8">
        <f t="shared" ca="1" si="3"/>
        <v>1.7059452424115726</v>
      </c>
    </row>
    <row r="24" spans="1:11" x14ac:dyDescent="0.35">
      <c r="A24" t="e" vm="23">
        <v>#VALUE!</v>
      </c>
      <c r="B24" t="str" cm="1">
        <f t="array" aca="1" ref="B24" ca="1">_FV(A24,"Official name",TRUE)</f>
        <v>IRB INFRASTRUCTURE DEVELOPERS LIMITED</v>
      </c>
      <c r="C24" t="str" cm="1">
        <f t="array" aca="1" ref="C24" ca="1">_FV(A24,"Industry")</f>
        <v>Construction &amp; Engineering</v>
      </c>
      <c r="D24" t="str" cm="1">
        <f t="array" aca="1" ref="D24" ca="1">_FV(A24,"Instrument type",TRUE)</f>
        <v>Stock</v>
      </c>
      <c r="E24" s="6">
        <v>51.71</v>
      </c>
      <c r="F24">
        <v>64</v>
      </c>
      <c r="G24" s="6">
        <f t="shared" si="1"/>
        <v>3309.44</v>
      </c>
      <c r="H24" s="1" cm="1">
        <f t="array" aca="1" ref="H24" ca="1">_FV(A24,"Price")</f>
        <v>47.76</v>
      </c>
      <c r="I24" s="1">
        <f t="shared" ca="1" si="0"/>
        <v>3056.64</v>
      </c>
      <c r="J24" s="1">
        <f t="shared" ca="1" si="2"/>
        <v>-252.80000000000018</v>
      </c>
      <c r="K24" s="8">
        <f t="shared" ca="1" si="3"/>
        <v>-7.638754592922071</v>
      </c>
    </row>
    <row r="25" spans="1:11" x14ac:dyDescent="0.35">
      <c r="A25" t="e" vm="24">
        <v>#VALUE!</v>
      </c>
      <c r="B25" t="str" cm="1">
        <f t="array" aca="1" ref="B25" ca="1">_FV(A25,"Official name",TRUE)</f>
        <v>JINDAL STAINLESS LIMITED</v>
      </c>
      <c r="C25" t="str" cm="1">
        <f t="array" aca="1" ref="C25" ca="1">_FV(A25,"Industry")</f>
        <v>Metals &amp; Mining</v>
      </c>
      <c r="D25" t="str" cm="1">
        <f t="array" aca="1" ref="D25" ca="1">_FV(A25,"Instrument type",TRUE)</f>
        <v>Stock</v>
      </c>
      <c r="E25" s="6">
        <v>657.55</v>
      </c>
      <c r="F25">
        <v>5</v>
      </c>
      <c r="G25" s="6">
        <f t="shared" si="1"/>
        <v>3287.75</v>
      </c>
      <c r="H25" s="1" cm="1">
        <f t="array" aca="1" ref="H25" ca="1">_FV(A25,"Price")</f>
        <v>694.55</v>
      </c>
      <c r="I25" s="1">
        <f t="shared" ca="1" si="0"/>
        <v>3472.75</v>
      </c>
      <c r="J25" s="1">
        <f t="shared" ca="1" si="2"/>
        <v>185</v>
      </c>
      <c r="K25" s="8">
        <f t="shared" ca="1" si="3"/>
        <v>5.6269485210250174</v>
      </c>
    </row>
    <row r="26" spans="1:11" x14ac:dyDescent="0.35">
      <c r="A26" t="e" vm="25">
        <v>#VALUE!</v>
      </c>
      <c r="B26" t="str" cm="1">
        <f t="array" aca="1" ref="B26" ca="1">_FV(A26,"Official name",TRUE)</f>
        <v>JAIPRAKASH POWER VENTURES LIMITED</v>
      </c>
      <c r="C26" t="str" cm="1">
        <f t="array" aca="1" ref="C26" ca="1">_FV(A26,"Industry")</f>
        <v>Electrical Utilities &amp; IPPs</v>
      </c>
      <c r="D26" t="str" cm="1">
        <f t="array" aca="1" ref="D26" ca="1">_FV(A26,"Instrument type",TRUE)</f>
        <v>Stock</v>
      </c>
      <c r="E26" s="6">
        <v>18.170000000000002</v>
      </c>
      <c r="F26">
        <v>123</v>
      </c>
      <c r="G26" s="6">
        <f t="shared" si="1"/>
        <v>2234.9100000000003</v>
      </c>
      <c r="H26" s="1" cm="1">
        <f t="array" aca="1" ref="H26" ca="1">_FV(A26,"Price")</f>
        <v>16.690000000000001</v>
      </c>
      <c r="I26" s="1">
        <f t="shared" ca="1" si="0"/>
        <v>2052.8700000000003</v>
      </c>
      <c r="J26" s="1">
        <f t="shared" ca="1" si="2"/>
        <v>-182.03999999999996</v>
      </c>
      <c r="K26" s="8">
        <f t="shared" ca="1" si="3"/>
        <v>-8.1452944413868984</v>
      </c>
    </row>
    <row r="27" spans="1:11" x14ac:dyDescent="0.35">
      <c r="A27" t="e" vm="26">
        <v>#VALUE!</v>
      </c>
      <c r="B27" t="str" cm="1">
        <f t="array" aca="1" ref="B27" ca="1">_FV(A27,"Official name",TRUE)</f>
        <v>JTL INDUSTRIES LIMITED</v>
      </c>
      <c r="C27" t="str" cm="1">
        <f t="array" aca="1" ref="C27" ca="1">_FV(A27,"Industry")</f>
        <v>Metals &amp; Mining</v>
      </c>
      <c r="D27" t="str" cm="1">
        <f t="array" aca="1" ref="D27" ca="1">_FV(A27,"Instrument type",TRUE)</f>
        <v>Stock</v>
      </c>
      <c r="E27" s="6">
        <v>202.98</v>
      </c>
      <c r="F27">
        <v>10</v>
      </c>
      <c r="G27" s="6">
        <f t="shared" si="1"/>
        <v>2029.8</v>
      </c>
      <c r="H27" s="1" cm="1">
        <f t="array" aca="1" ref="H27" ca="1">_FV(A27,"Price")</f>
        <v>98.15</v>
      </c>
      <c r="I27" s="1">
        <f t="shared" ca="1" si="0"/>
        <v>981.5</v>
      </c>
      <c r="J27" s="1">
        <f t="shared" ca="1" si="2"/>
        <v>-1048.3</v>
      </c>
      <c r="K27" s="8">
        <f t="shared" ca="1" si="3"/>
        <v>-51.645482313528426</v>
      </c>
    </row>
    <row r="28" spans="1:11" x14ac:dyDescent="0.35">
      <c r="A28" t="e" vm="27">
        <v>#VALUE!</v>
      </c>
      <c r="B28" t="str" cm="1">
        <f t="array" aca="1" ref="B28" ca="1">_FV(A28,"Official name",TRUE)</f>
        <v>FRANKLIN INDUSTRIES LIMITED</v>
      </c>
      <c r="C28" t="str" cm="1">
        <f t="array" aca="1" ref="C28" ca="1">_FV(A28,"Industry")</f>
        <v>Textiles &amp; Apparel</v>
      </c>
      <c r="D28" t="str" cm="1">
        <f t="array" aca="1" ref="D28" ca="1">_FV(A28,"Instrument type",TRUE)</f>
        <v>Stock</v>
      </c>
      <c r="E28" s="6">
        <v>1.84</v>
      </c>
      <c r="F28">
        <v>676</v>
      </c>
      <c r="G28" s="6">
        <f t="shared" si="1"/>
        <v>1243.8400000000001</v>
      </c>
      <c r="H28" s="1" cm="1">
        <f t="array" aca="1" ref="H28" ca="1">_FV(A28,"Price")</f>
        <v>1.95</v>
      </c>
      <c r="I28" s="1">
        <f t="shared" ca="1" si="0"/>
        <v>1318.2</v>
      </c>
      <c r="J28" s="1">
        <f t="shared" ca="1" si="2"/>
        <v>74.3599999999999</v>
      </c>
      <c r="K28" s="8">
        <f t="shared" ca="1" si="3"/>
        <v>5.9782608695652089</v>
      </c>
    </row>
    <row r="29" spans="1:11" x14ac:dyDescent="0.35">
      <c r="A29" t="e" vm="28">
        <v>#VALUE!</v>
      </c>
      <c r="B29" t="str" cm="1">
        <f t="array" aca="1" ref="B29" ca="1">_FV(A29,"Official name",TRUE)</f>
        <v>ORIENT GREEN POWER COMPANY LIMITED</v>
      </c>
      <c r="C29" t="str" cm="1">
        <f t="array" aca="1" ref="C29" ca="1">_FV(A29,"Industry")</f>
        <v>Electrical Utilities &amp; IPPs</v>
      </c>
      <c r="D29" t="str" cm="1">
        <f t="array" aca="1" ref="D29" ca="1">_FV(A29,"Instrument type",TRUE)</f>
        <v>Stock</v>
      </c>
      <c r="E29" s="6">
        <v>18.899999999999999</v>
      </c>
      <c r="F29">
        <v>40</v>
      </c>
      <c r="G29" s="6">
        <f t="shared" si="1"/>
        <v>756</v>
      </c>
      <c r="H29" s="1" cm="1">
        <f t="array" aca="1" ref="H29" ca="1">_FV(A29,"Price")</f>
        <v>17.89</v>
      </c>
      <c r="I29" s="1">
        <f t="shared" ca="1" si="0"/>
        <v>715.6</v>
      </c>
      <c r="J29" s="1">
        <f t="shared" ca="1" si="2"/>
        <v>-40.399999999999977</v>
      </c>
      <c r="K29" s="8">
        <f t="shared" ca="1" si="3"/>
        <v>-5.3439153439153406</v>
      </c>
    </row>
    <row r="30" spans="1:11" x14ac:dyDescent="0.35">
      <c r="A30" t="e" vm="29">
        <v>#VALUE!</v>
      </c>
      <c r="B30" t="str" cm="1">
        <f t="array" aca="1" ref="B30" ca="1">_FV(A30,"Official name",TRUE)</f>
        <v>PATEL ENGINEERING LIMITED</v>
      </c>
      <c r="C30" t="str" cm="1">
        <f t="array" aca="1" ref="C30" ca="1">_FV(A30,"Industry")</f>
        <v>Construction &amp; Engineering</v>
      </c>
      <c r="D30" t="str" cm="1">
        <f t="array" aca="1" ref="D30" ca="1">_FV(A30,"Instrument type",TRUE)</f>
        <v>Stock</v>
      </c>
      <c r="E30" s="6">
        <v>51.05</v>
      </c>
      <c r="F30">
        <v>5</v>
      </c>
      <c r="G30" s="6">
        <f t="shared" si="1"/>
        <v>255.25</v>
      </c>
      <c r="H30" s="1" cm="1">
        <f t="array" aca="1" ref="H30" ca="1">_FV(A30,"Price")</f>
        <v>51.12</v>
      </c>
      <c r="I30" s="1">
        <f t="shared" ca="1" si="0"/>
        <v>255.6</v>
      </c>
      <c r="J30" s="1">
        <f t="shared" ca="1" si="2"/>
        <v>0.34999999999999432</v>
      </c>
      <c r="K30" s="8">
        <f t="shared" ca="1" si="3"/>
        <v>0.13712047012732392</v>
      </c>
    </row>
    <row r="31" spans="1:11" x14ac:dyDescent="0.35">
      <c r="A31" t="e" vm="30">
        <v>#VALUE!</v>
      </c>
      <c r="B31" t="str" cm="1">
        <f t="array" aca="1" ref="B31" ca="1">_FV(A31,"Official name",TRUE)</f>
        <v>NHPC Limited</v>
      </c>
      <c r="C31" t="str" cm="1">
        <f t="array" aca="1" ref="C31" ca="1">_FV(A31,"Industry")</f>
        <v>Electrical Utilities &amp; IPPs</v>
      </c>
      <c r="D31" t="str" cm="1">
        <f t="array" aca="1" ref="D31" ca="1">_FV(A31,"Instrument type",TRUE)</f>
        <v>Stock</v>
      </c>
      <c r="E31" s="6">
        <v>84.11</v>
      </c>
      <c r="F31">
        <v>3</v>
      </c>
      <c r="G31" s="6">
        <f t="shared" si="1"/>
        <v>252.32999999999998</v>
      </c>
      <c r="H31" s="1" cm="1">
        <f t="array" aca="1" ref="H31" ca="1">_FV(A31,"Price")</f>
        <v>78.38</v>
      </c>
      <c r="I31" s="1">
        <f t="shared" ca="1" si="0"/>
        <v>235.14</v>
      </c>
      <c r="J31" s="1">
        <f t="shared" ca="1" si="2"/>
        <v>-17.189999999999998</v>
      </c>
      <c r="K31" s="8">
        <f t="shared" ca="1" si="3"/>
        <v>-6.8125074307454518</v>
      </c>
    </row>
    <row r="32" spans="1:11" x14ac:dyDescent="0.35">
      <c r="A32" t="e" vm="31">
        <v>#VALUE!</v>
      </c>
      <c r="B32" t="str" cm="1">
        <f t="array" aca="1" ref="B32" ca="1">_FV(A32,"Official name",TRUE)</f>
        <v>SEACOAST SHIPPING SERVICES LIMITED</v>
      </c>
      <c r="C32" t="str" cm="1">
        <f t="array" aca="1" ref="C32" ca="1">_FV(A32,"Industry")</f>
        <v>Freight &amp; Logistics Services</v>
      </c>
      <c r="D32" t="str" cm="1">
        <f t="array" aca="1" ref="D32" ca="1">_FV(A32,"Instrument type",TRUE)</f>
        <v>Stock</v>
      </c>
      <c r="E32" s="6">
        <v>4.2300000000000004</v>
      </c>
      <c r="F32">
        <v>8</v>
      </c>
      <c r="G32" s="6">
        <f t="shared" si="1"/>
        <v>33.840000000000003</v>
      </c>
      <c r="H32" s="1" cm="1">
        <f t="array" aca="1" ref="H32" ca="1">_FV(A32,"Price")</f>
        <v>3.99</v>
      </c>
      <c r="I32" s="1">
        <f t="shared" ca="1" si="0"/>
        <v>31.92</v>
      </c>
      <c r="J32" s="1">
        <f t="shared" ca="1" si="2"/>
        <v>-1.9200000000000017</v>
      </c>
      <c r="K32" s="8">
        <f t="shared" ca="1" si="3"/>
        <v>-5.6737588652482316</v>
      </c>
    </row>
    <row r="33" spans="1:11" x14ac:dyDescent="0.35">
      <c r="A33" t="e" vm="32">
        <v>#VALUE!</v>
      </c>
      <c r="B33" t="str" cm="1">
        <f t="array" aca="1" ref="B33" ca="1">_FV(A33,"Name")</f>
        <v>Bharat 22 ETF</v>
      </c>
      <c r="C33" t="s">
        <v>20</v>
      </c>
      <c r="D33" t="str" cm="1">
        <f t="array" aca="1" ref="D33" ca="1">_FV(A33,"Instrument type",TRUE)</f>
        <v>ETF</v>
      </c>
      <c r="E33" s="6">
        <v>110.84</v>
      </c>
      <c r="F33">
        <v>50</v>
      </c>
      <c r="G33" s="6">
        <f t="shared" si="1"/>
        <v>5542</v>
      </c>
      <c r="H33" s="1" cm="1">
        <f t="array" aca="1" ref="H33" ca="1">_FV(A33,"Price")</f>
        <v>108.7</v>
      </c>
      <c r="I33" s="1">
        <f t="shared" ca="1" si="0"/>
        <v>5435</v>
      </c>
      <c r="J33" s="1">
        <f t="shared" ca="1" si="2"/>
        <v>-107</v>
      </c>
      <c r="K33" s="8">
        <f t="shared" ca="1" si="3"/>
        <v>-1.9307109346806206</v>
      </c>
    </row>
    <row r="34" spans="1:11" x14ac:dyDescent="0.35">
      <c r="A34" t="e" vm="33">
        <v>#VALUE!</v>
      </c>
      <c r="B34" t="str" cm="1">
        <f t="array" aca="1" ref="B34" ca="1">_FV(A34,"Name")</f>
        <v>Motilal Oswal Nifty SC 250 ETF</v>
      </c>
      <c r="C34" t="s">
        <v>20</v>
      </c>
      <c r="D34" t="str" cm="1">
        <f t="array" aca="1" ref="D34" ca="1">_FV(A34,"Instrument type",TRUE)</f>
        <v>ETF</v>
      </c>
      <c r="E34" s="6">
        <v>17.579999999999998</v>
      </c>
      <c r="F34">
        <v>203</v>
      </c>
      <c r="G34" s="6">
        <f t="shared" si="1"/>
        <v>3568.74</v>
      </c>
      <c r="H34" s="1" cm="1">
        <f t="array" aca="1" ref="H34" ca="1">_FV(A34,"Price")</f>
        <v>16.86</v>
      </c>
      <c r="I34" s="1">
        <f t="shared" ref="I34:I36" ca="1" si="4">(F34*H34)</f>
        <v>3422.58</v>
      </c>
      <c r="J34" s="1">
        <f t="shared" ca="1" si="2"/>
        <v>-146.15999999999985</v>
      </c>
      <c r="K34" s="8">
        <f t="shared" ref="K34:K36" ca="1" si="5">(I34-G34)*100/G34</f>
        <v>-4.0955631399317367</v>
      </c>
    </row>
    <row r="35" spans="1:11" x14ac:dyDescent="0.35">
      <c r="A35" t="e" vm="34">
        <v>#VALUE!</v>
      </c>
      <c r="B35" t="str" cm="1">
        <f t="array" aca="1" ref="B35" ca="1">_FV(A35,"Name")</f>
        <v>MotilalOswal NiftyMidcap100ETF</v>
      </c>
      <c r="C35" t="s">
        <v>20</v>
      </c>
      <c r="D35" t="str" cm="1">
        <f t="array" aca="1" ref="D35" ca="1">_FV(A35,"Instrument type",TRUE)</f>
        <v>ETF</v>
      </c>
      <c r="E35" s="6">
        <v>60.16</v>
      </c>
      <c r="F35">
        <v>90</v>
      </c>
      <c r="G35" s="6">
        <f t="shared" si="1"/>
        <v>5414.4</v>
      </c>
      <c r="H35" s="1" cm="1">
        <f t="array" aca="1" ref="H35" ca="1">_FV(A35,"Price")</f>
        <v>57.94</v>
      </c>
      <c r="I35" s="1">
        <f t="shared" ca="1" si="4"/>
        <v>5214.5999999999995</v>
      </c>
      <c r="J35" s="1">
        <f t="shared" ca="1" si="2"/>
        <v>-199.80000000000018</v>
      </c>
      <c r="K35" s="8">
        <f t="shared" ca="1" si="5"/>
        <v>-3.6901595744680886</v>
      </c>
    </row>
    <row r="36" spans="1:11" x14ac:dyDescent="0.35">
      <c r="A36" t="e" vm="35">
        <v>#VALUE!</v>
      </c>
      <c r="B36" t="str" cm="1">
        <f t="array" aca="1" ref="B36" ca="1">_FV(A36,"Name")</f>
        <v>Nippon India Nifty Pharma ETF</v>
      </c>
      <c r="C36" t="s">
        <v>20</v>
      </c>
      <c r="D36" t="str" cm="1">
        <f t="array" aca="1" ref="D36" ca="1">_FV(A36,"Instrument type",TRUE)</f>
        <v>ETF</v>
      </c>
      <c r="E36" s="12">
        <v>23.04</v>
      </c>
      <c r="F36">
        <v>45</v>
      </c>
      <c r="G36" s="6">
        <f t="shared" si="1"/>
        <v>1036.8</v>
      </c>
      <c r="H36" s="1" cm="1">
        <f t="array" aca="1" ref="H36" ca="1">_FV(A36,"Price")</f>
        <v>22.23</v>
      </c>
      <c r="I36" s="1">
        <f t="shared" ca="1" si="4"/>
        <v>1000.35</v>
      </c>
      <c r="J36" s="1">
        <f t="shared" ca="1" si="2"/>
        <v>-36.449999999999932</v>
      </c>
      <c r="K36" s="8">
        <f t="shared" ca="1" si="5"/>
        <v>-3.5156249999999938</v>
      </c>
    </row>
    <row r="41" spans="1:11" x14ac:dyDescent="0.35">
      <c r="C41" s="5" t="s">
        <v>15</v>
      </c>
      <c r="D41" s="5"/>
      <c r="E41" s="5"/>
      <c r="F41" s="5"/>
      <c r="G41" s="7">
        <f>SUM(G2:G36)</f>
        <v>254094.21555555551</v>
      </c>
      <c r="H41" s="5"/>
      <c r="I41" s="9">
        <f ca="1">SUM(I2:I36)</f>
        <v>248906.87000000002</v>
      </c>
      <c r="J41" s="13">
        <f ca="1">SUM(J2:J36)</f>
        <v>-5187.345555555552</v>
      </c>
    </row>
    <row r="43" spans="1:11" x14ac:dyDescent="0.35">
      <c r="C43" s="14"/>
      <c r="E43"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2C3FC-C531-4679-84A4-BCB1A86C9BF4}">
  <dimension ref="A1:C37"/>
  <sheetViews>
    <sheetView topLeftCell="J1" zoomScale="88" workbookViewId="0">
      <selection activeCell="A3" sqref="A3"/>
    </sheetView>
  </sheetViews>
  <sheetFormatPr defaultRowHeight="14.5" x14ac:dyDescent="0.35"/>
  <cols>
    <col min="1" max="1" width="31.453125" bestFit="1" customWidth="1"/>
    <col min="2" max="3" width="18.81640625" bestFit="1" customWidth="1"/>
  </cols>
  <sheetData>
    <row r="1" spans="1:2" x14ac:dyDescent="0.35">
      <c r="A1" s="10" t="s">
        <v>23</v>
      </c>
      <c r="B1" t="s">
        <v>42</v>
      </c>
    </row>
    <row r="2" spans="1:2" x14ac:dyDescent="0.35">
      <c r="A2" s="11" t="s">
        <v>24</v>
      </c>
      <c r="B2" s="6">
        <v>5382.6</v>
      </c>
    </row>
    <row r="3" spans="1:2" x14ac:dyDescent="0.35">
      <c r="A3" s="11" t="s">
        <v>25</v>
      </c>
      <c r="B3" s="6">
        <v>11028.59</v>
      </c>
    </row>
    <row r="4" spans="1:2" x14ac:dyDescent="0.35">
      <c r="A4" s="11" t="s">
        <v>26</v>
      </c>
      <c r="B4" s="6">
        <v>25053.269999999997</v>
      </c>
    </row>
    <row r="5" spans="1:2" x14ac:dyDescent="0.35">
      <c r="A5" s="11" t="s">
        <v>27</v>
      </c>
      <c r="B5" s="6">
        <v>14503.439999999999</v>
      </c>
    </row>
    <row r="6" spans="1:2" x14ac:dyDescent="0.35">
      <c r="A6" s="11" t="s">
        <v>28</v>
      </c>
      <c r="B6" s="6">
        <v>14112.130000000001</v>
      </c>
    </row>
    <row r="7" spans="1:2" x14ac:dyDescent="0.35">
      <c r="A7" s="11" t="s">
        <v>29</v>
      </c>
      <c r="B7" s="6">
        <v>5948.11</v>
      </c>
    </row>
    <row r="8" spans="1:2" x14ac:dyDescent="0.35">
      <c r="A8" s="11" t="s">
        <v>30</v>
      </c>
      <c r="B8" s="6">
        <v>3564.69</v>
      </c>
    </row>
    <row r="9" spans="1:2" x14ac:dyDescent="0.35">
      <c r="A9" s="11" t="s">
        <v>31</v>
      </c>
      <c r="B9" s="6">
        <v>34611.820000000007</v>
      </c>
    </row>
    <row r="10" spans="1:2" x14ac:dyDescent="0.35">
      <c r="A10" s="11" t="s">
        <v>20</v>
      </c>
      <c r="B10" s="6">
        <v>15561.939999999999</v>
      </c>
    </row>
    <row r="11" spans="1:2" x14ac:dyDescent="0.35">
      <c r="A11" s="11" t="s">
        <v>32</v>
      </c>
      <c r="B11" s="6">
        <v>7741.28</v>
      </c>
    </row>
    <row r="12" spans="1:2" x14ac:dyDescent="0.35">
      <c r="A12" s="11" t="s">
        <v>33</v>
      </c>
      <c r="B12" s="6">
        <v>12461.789999999999</v>
      </c>
    </row>
    <row r="13" spans="1:2" x14ac:dyDescent="0.35">
      <c r="A13" s="11" t="s">
        <v>34</v>
      </c>
      <c r="B13" s="6">
        <v>19511.52</v>
      </c>
    </row>
    <row r="14" spans="1:2" x14ac:dyDescent="0.35">
      <c r="A14" s="11" t="s">
        <v>35</v>
      </c>
      <c r="B14" s="6">
        <v>8759.6299999999992</v>
      </c>
    </row>
    <row r="15" spans="1:2" x14ac:dyDescent="0.35">
      <c r="A15" s="11" t="s">
        <v>36</v>
      </c>
      <c r="B15" s="6">
        <v>28299.15</v>
      </c>
    </row>
    <row r="16" spans="1:2" x14ac:dyDescent="0.35">
      <c r="A16" s="11" t="s">
        <v>37</v>
      </c>
      <c r="B16" s="6">
        <v>29024</v>
      </c>
    </row>
    <row r="17" spans="1:2" x14ac:dyDescent="0.35">
      <c r="A17" s="11" t="s">
        <v>38</v>
      </c>
      <c r="B17" s="6">
        <v>14141.44</v>
      </c>
    </row>
    <row r="18" spans="1:2" x14ac:dyDescent="0.35">
      <c r="A18" s="11" t="s">
        <v>39</v>
      </c>
      <c r="B18" s="6">
        <v>1243.8400000000001</v>
      </c>
    </row>
    <row r="19" spans="1:2" x14ac:dyDescent="0.35">
      <c r="A19" s="11" t="s">
        <v>40</v>
      </c>
      <c r="B19" s="6">
        <v>6613.42</v>
      </c>
    </row>
    <row r="20" spans="1:2" x14ac:dyDescent="0.35">
      <c r="A20" s="11" t="s">
        <v>41</v>
      </c>
      <c r="B20" s="6">
        <v>257562.66000000003</v>
      </c>
    </row>
    <row r="24" spans="1:2" x14ac:dyDescent="0.35">
      <c r="A24" s="10" t="s">
        <v>23</v>
      </c>
      <c r="B24" t="s">
        <v>42</v>
      </c>
    </row>
    <row r="25" spans="1:2" x14ac:dyDescent="0.35">
      <c r="A25" s="11" t="s">
        <v>20</v>
      </c>
      <c r="B25" s="6">
        <v>15561.939999999999</v>
      </c>
    </row>
    <row r="26" spans="1:2" x14ac:dyDescent="0.35">
      <c r="A26" s="11" t="s">
        <v>12</v>
      </c>
      <c r="B26" s="6">
        <v>242000.71999999997</v>
      </c>
    </row>
    <row r="27" spans="1:2" x14ac:dyDescent="0.35">
      <c r="A27" s="11" t="s">
        <v>41</v>
      </c>
      <c r="B27" s="6">
        <v>257562.65999999997</v>
      </c>
    </row>
    <row r="34" spans="1:3" x14ac:dyDescent="0.35">
      <c r="A34" s="10" t="s">
        <v>23</v>
      </c>
      <c r="B34" t="s">
        <v>44</v>
      </c>
      <c r="C34" t="s">
        <v>42</v>
      </c>
    </row>
    <row r="35" spans="1:3" x14ac:dyDescent="0.35">
      <c r="A35" s="11" t="s">
        <v>20</v>
      </c>
      <c r="B35" s="1">
        <v>-489.40999999999997</v>
      </c>
      <c r="C35" s="6">
        <v>15561.939999999999</v>
      </c>
    </row>
    <row r="36" spans="1:3" x14ac:dyDescent="0.35">
      <c r="A36" s="11" t="s">
        <v>12</v>
      </c>
      <c r="B36" s="1">
        <v>-8166.3799999999974</v>
      </c>
      <c r="C36" s="6">
        <v>242000.71999999997</v>
      </c>
    </row>
    <row r="37" spans="1:3" x14ac:dyDescent="0.35">
      <c r="A37" s="11" t="s">
        <v>41</v>
      </c>
      <c r="B37" s="1">
        <v>-8655.7899999999972</v>
      </c>
      <c r="C37" s="6">
        <v>257562.65999999997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2183-5AAF-4115-9C77-2D165F1FBE25}">
  <dimension ref="A1:N12"/>
  <sheetViews>
    <sheetView tabSelected="1" workbookViewId="0">
      <selection activeCell="G5" sqref="G5"/>
    </sheetView>
  </sheetViews>
  <sheetFormatPr defaultRowHeight="14.5" x14ac:dyDescent="0.35"/>
  <cols>
    <col min="1" max="1" width="9.08984375" bestFit="1" customWidth="1"/>
    <col min="2" max="2" width="10.6328125" bestFit="1" customWidth="1"/>
    <col min="3" max="3" width="10.90625" bestFit="1" customWidth="1"/>
    <col min="4" max="4" width="7.08984375" bestFit="1" customWidth="1"/>
    <col min="5" max="5" width="7.08984375" customWidth="1"/>
    <col min="6" max="6" width="10.08984375" bestFit="1" customWidth="1"/>
    <col min="10" max="10" width="10.36328125" bestFit="1" customWidth="1"/>
    <col min="11" max="11" width="18.08984375" bestFit="1" customWidth="1"/>
    <col min="12" max="12" width="13.6328125" bestFit="1" customWidth="1"/>
    <col min="13" max="13" width="17.26953125" style="18" bestFit="1" customWidth="1"/>
    <col min="14" max="14" width="16.81640625" hidden="1" customWidth="1"/>
  </cols>
  <sheetData>
    <row r="1" spans="1:14" x14ac:dyDescent="0.35">
      <c r="A1" t="s">
        <v>48</v>
      </c>
      <c r="B1" t="s">
        <v>49</v>
      </c>
      <c r="C1" t="s">
        <v>46</v>
      </c>
      <c r="D1" t="s">
        <v>47</v>
      </c>
      <c r="E1" t="s">
        <v>60</v>
      </c>
    </row>
    <row r="2" spans="1:14" x14ac:dyDescent="0.35">
      <c r="A2" t="s">
        <v>50</v>
      </c>
      <c r="B2" t="s">
        <v>51</v>
      </c>
      <c r="C2">
        <v>1300</v>
      </c>
      <c r="D2">
        <v>10</v>
      </c>
      <c r="E2">
        <f>(C2*D2)</f>
        <v>13000</v>
      </c>
      <c r="F2" s="16"/>
      <c r="J2" s="10" t="s">
        <v>66</v>
      </c>
      <c r="K2" t="s">
        <v>63</v>
      </c>
      <c r="L2" t="s">
        <v>61</v>
      </c>
      <c r="M2" s="19" t="s">
        <v>64</v>
      </c>
      <c r="N2" t="s">
        <v>64</v>
      </c>
    </row>
    <row r="3" spans="1:14" x14ac:dyDescent="0.35">
      <c r="A3" t="s">
        <v>50</v>
      </c>
      <c r="B3" t="s">
        <v>52</v>
      </c>
      <c r="C3">
        <v>1552.8</v>
      </c>
      <c r="D3">
        <v>3</v>
      </c>
      <c r="E3">
        <f t="shared" ref="E3:E9" si="0">(C3*D3)</f>
        <v>4658.3999999999996</v>
      </c>
      <c r="J3" s="11" t="s">
        <v>54</v>
      </c>
      <c r="K3" s="17">
        <v>785.1</v>
      </c>
      <c r="L3" s="17">
        <v>2</v>
      </c>
      <c r="M3" s="18">
        <f>GETPIVOTDATA("Sum of Total amount",$J$2,"Stock Ticker","CGPOWER")/GETPIVOTDATA("Sum of Amount",$J$2,"Stock Ticker","CGPOWER")</f>
        <v>392.55</v>
      </c>
      <c r="N3">
        <v>392.55</v>
      </c>
    </row>
    <row r="4" spans="1:14" x14ac:dyDescent="0.35">
      <c r="A4" t="s">
        <v>50</v>
      </c>
      <c r="B4" t="s">
        <v>53</v>
      </c>
      <c r="C4">
        <v>1272.7</v>
      </c>
      <c r="D4">
        <v>6</v>
      </c>
      <c r="E4">
        <f t="shared" si="0"/>
        <v>7636.2000000000007</v>
      </c>
      <c r="J4" s="11" t="s">
        <v>51</v>
      </c>
      <c r="K4" s="17">
        <v>23000</v>
      </c>
      <c r="L4" s="17">
        <v>18</v>
      </c>
      <c r="M4" s="18">
        <f>(GETPIVOTDATA("Sum of Total amount",$J$2,"Stock Ticker","CIPLA")/GETPIVOTDATA("Sum of Amount",$J$2,"Stock Ticker","CIPLA"))</f>
        <v>1277.7777777777778</v>
      </c>
      <c r="N4">
        <v>1277.7777777777778</v>
      </c>
    </row>
    <row r="5" spans="1:14" x14ac:dyDescent="0.35">
      <c r="A5" t="s">
        <v>50</v>
      </c>
      <c r="B5" t="s">
        <v>54</v>
      </c>
      <c r="C5">
        <v>392.55</v>
      </c>
      <c r="D5">
        <v>2</v>
      </c>
      <c r="E5">
        <f t="shared" si="0"/>
        <v>785.1</v>
      </c>
      <c r="J5" s="11" t="s">
        <v>56</v>
      </c>
      <c r="K5" s="17">
        <v>0</v>
      </c>
      <c r="L5" s="17">
        <v>0</v>
      </c>
      <c r="M5" s="18" t="e">
        <f>(GETPIVOTDATA("Sum of Total amount",$J$2,"Stock Ticker","COALINDIA")/GETPIVOTDATA("Sum of Amount",$J$2,"Stock Ticker","COALINDIA"))</f>
        <v>#DIV/0!</v>
      </c>
      <c r="N5" t="e">
        <v>#DIV/0!</v>
      </c>
    </row>
    <row r="6" spans="1:14" x14ac:dyDescent="0.35">
      <c r="A6" t="s">
        <v>50</v>
      </c>
      <c r="B6" t="s">
        <v>55</v>
      </c>
      <c r="C6">
        <v>727.5</v>
      </c>
      <c r="D6">
        <v>4</v>
      </c>
      <c r="E6">
        <f t="shared" si="0"/>
        <v>2910</v>
      </c>
      <c r="J6" s="11" t="s">
        <v>58</v>
      </c>
      <c r="K6" s="17">
        <v>1867.3</v>
      </c>
      <c r="L6" s="17">
        <v>1</v>
      </c>
      <c r="M6" s="18">
        <f>GETPIVOTDATA("Sum of Total amount",$J$2,"Stock Ticker","CONCOR")/GETPIVOTDATA("Sum of Amount",$J$2,"Stock Ticker","CONCOR")</f>
        <v>1867.3</v>
      </c>
      <c r="N6">
        <v>1867.3</v>
      </c>
    </row>
    <row r="7" spans="1:14" x14ac:dyDescent="0.35">
      <c r="A7" t="s">
        <v>50</v>
      </c>
      <c r="B7" t="s">
        <v>56</v>
      </c>
      <c r="C7">
        <v>590.79999999999995</v>
      </c>
      <c r="D7">
        <v>0</v>
      </c>
      <c r="E7">
        <f t="shared" si="0"/>
        <v>0</v>
      </c>
      <c r="J7" s="11" t="s">
        <v>57</v>
      </c>
      <c r="K7" s="17">
        <v>843.1</v>
      </c>
      <c r="L7" s="17">
        <v>2</v>
      </c>
      <c r="M7" s="18">
        <f>(GETPIVOTDATA("Sum of Total amount",$J$2,"Stock Ticker","HCLTECH")/GETPIVOTDATA("Sum of Amount",$J$2,"Stock Ticker","HCLTECH"))</f>
        <v>421.55</v>
      </c>
      <c r="N7">
        <v>421.55</v>
      </c>
    </row>
    <row r="8" spans="1:14" x14ac:dyDescent="0.35">
      <c r="A8" t="s">
        <v>50</v>
      </c>
      <c r="B8" t="s">
        <v>57</v>
      </c>
      <c r="C8">
        <v>421.55</v>
      </c>
      <c r="D8">
        <v>2</v>
      </c>
      <c r="E8">
        <f t="shared" si="0"/>
        <v>843.1</v>
      </c>
      <c r="J8" s="11" t="s">
        <v>53</v>
      </c>
      <c r="K8" s="17">
        <v>7636.2000000000007</v>
      </c>
      <c r="L8" s="17">
        <v>6</v>
      </c>
      <c r="M8" s="18">
        <f>GETPIVOTDATA("Sum of Total amount",$J$2,"Stock Ticker","NTPC")/GETPIVOTDATA("Sum of Amount",$J$2,"Stock Ticker","NTPC")</f>
        <v>1272.7</v>
      </c>
      <c r="N8">
        <v>1272.7</v>
      </c>
    </row>
    <row r="9" spans="1:14" x14ac:dyDescent="0.35">
      <c r="A9" t="s">
        <v>50</v>
      </c>
      <c r="B9" t="s">
        <v>58</v>
      </c>
      <c r="C9">
        <v>1867.3</v>
      </c>
      <c r="D9">
        <v>1</v>
      </c>
      <c r="E9">
        <f t="shared" si="0"/>
        <v>1867.3</v>
      </c>
      <c r="J9" s="11" t="s">
        <v>52</v>
      </c>
      <c r="K9" s="17">
        <v>4658.3999999999996</v>
      </c>
      <c r="L9" s="17">
        <v>3</v>
      </c>
      <c r="M9" s="18">
        <f>GETPIVOTDATA("Sum of Total amount",$J$2,"Stock Ticker","RELIANCE")/GETPIVOTDATA("Sum of Amount",$J$2,"Stock Ticker","RELIANCE")</f>
        <v>1552.8</v>
      </c>
      <c r="N9">
        <v>1552.8</v>
      </c>
    </row>
    <row r="10" spans="1:14" x14ac:dyDescent="0.35">
      <c r="A10" t="s">
        <v>62</v>
      </c>
      <c r="B10" t="s">
        <v>51</v>
      </c>
      <c r="C10">
        <v>1250</v>
      </c>
      <c r="D10">
        <v>8</v>
      </c>
      <c r="E10">
        <f>(C10*D10)</f>
        <v>10000</v>
      </c>
      <c r="J10" s="11" t="s">
        <v>55</v>
      </c>
      <c r="K10" s="17">
        <v>2910</v>
      </c>
      <c r="L10" s="17">
        <v>4</v>
      </c>
      <c r="M10" s="18">
        <f>GETPIVOTDATA("Sum of Total amount",$J$2,"Stock Ticker","VBL")/GETPIVOTDATA("Sum of Amount",$J$2,"Stock Ticker","VBL")</f>
        <v>727.5</v>
      </c>
      <c r="N10">
        <v>727.5</v>
      </c>
    </row>
    <row r="11" spans="1:14" x14ac:dyDescent="0.35">
      <c r="A11" t="s">
        <v>62</v>
      </c>
      <c r="B11" t="s">
        <v>65</v>
      </c>
      <c r="C11">
        <v>500</v>
      </c>
      <c r="D11">
        <v>10</v>
      </c>
      <c r="E11">
        <f>(C11*D11)</f>
        <v>5000</v>
      </c>
      <c r="J11" s="11" t="s">
        <v>65</v>
      </c>
      <c r="K11" s="17">
        <v>5000</v>
      </c>
      <c r="L11" s="17">
        <v>10</v>
      </c>
    </row>
    <row r="12" spans="1:14" x14ac:dyDescent="0.35">
      <c r="J12" s="11" t="s">
        <v>41</v>
      </c>
      <c r="K12" s="17">
        <v>46700.1</v>
      </c>
      <c r="L12" s="17">
        <v>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Stocks Overview</vt:lpstr>
      <vt:lpstr>Portfolio Analysis</vt:lpstr>
      <vt:lpstr>Pivot Tables</vt:lpstr>
      <vt:lpstr>Stock Purchase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Chinthireddy</dc:creator>
  <cp:lastModifiedBy>Bhanu Chinthireddy</cp:lastModifiedBy>
  <dcterms:created xsi:type="dcterms:W3CDTF">2024-11-02T06:45:20Z</dcterms:created>
  <dcterms:modified xsi:type="dcterms:W3CDTF">2024-11-18T06:00:13Z</dcterms:modified>
</cp:coreProperties>
</file>